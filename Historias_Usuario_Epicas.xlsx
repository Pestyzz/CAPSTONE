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20" yWindow="-110" windowWidth="18090" windowHeight="1102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Épicas"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Print_Titles" localSheetId="0">'Historias de Usuario'!$4:$5</definedName>
    <definedName name="_xlnm.Print_Area" localSheetId="0">'Historias de Usuario'!$A$1:$Q$134</definedName>
    <definedName name="_xlnm.Print_Area" localSheetId="1">'Épicas'!$A$1:$M$34</definedName>
    <definedName name="_xlnm.Print_Area" localSheetId="2">'Instructivo'!$A$1:$D$31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b val="1"/>
      <color theme="1"/>
      <sz val="24"/>
      <scheme val="minor"/>
    </font>
    <font>
      <name val="Calibri"/>
      <i val="1"/>
      <color theme="1"/>
      <sz val="12"/>
    </font>
    <font>
      <name val="Calibri"/>
      <b val="1"/>
      <sz val="11"/>
    </font>
    <font>
      <name val="Calibri"/>
      <b val="1"/>
      <color theme="1"/>
      <sz val="14"/>
    </font>
  </fonts>
  <fills count="5">
    <fill>
      <patternFill/>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7">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4" borderId="2"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3" borderId="0" pivotButton="0" quotePrefix="1" xfId="0"/>
    <xf numFmtId="0" fontId="4" fillId="3" borderId="0" pivotButton="0" quotePrefix="0" xfId="0"/>
    <xf numFmtId="0" fontId="0" fillId="3" borderId="3" applyAlignment="1" pivotButton="0" quotePrefix="0" xfId="0">
      <alignment horizontal="left" vertical="top" wrapText="1"/>
    </xf>
    <xf numFmtId="0" fontId="0" fillId="3" borderId="2" applyAlignment="1" pivotButton="0" quotePrefix="0" xfId="0">
      <alignment horizontal="left" vertical="top" wrapText="1"/>
    </xf>
    <xf numFmtId="0" fontId="0" fillId="3" borderId="4" applyAlignment="1" pivotButton="0" quotePrefix="0" xfId="0">
      <alignment horizontal="left" vertical="top" wrapText="1"/>
    </xf>
    <xf numFmtId="0" fontId="1" fillId="2" borderId="1" applyAlignment="1" pivotButton="0" quotePrefix="0" xfId="0">
      <alignment horizontal="center" vertical="center" wrapText="1"/>
    </xf>
    <xf numFmtId="0" fontId="5" fillId="3" borderId="0" pivotButton="0" quotePrefix="0" xfId="0"/>
    <xf numFmtId="0" fontId="0" fillId="0" borderId="7" pivotButton="0" quotePrefix="0" xfId="0"/>
    <xf numFmtId="0" fontId="0" fillId="0" borderId="8" pivotButton="0" quotePrefix="0" xfId="0"/>
    <xf numFmtId="0" fontId="0" fillId="0" borderId="2" pivotButton="0" quotePrefix="0" xfId="0"/>
    <xf numFmtId="0" fontId="0" fillId="0" borderId="4" pivotButton="0" quotePrefix="0" xfId="0"/>
    <xf numFmtId="0" fontId="6" fillId="3" borderId="1" applyAlignment="1" pivotButton="0" quotePrefix="0" xfId="0">
      <alignment horizontal="left" vertical="top" wrapText="1"/>
    </xf>
    <xf numFmtId="0" fontId="6" fillId="3" borderId="1" applyAlignment="1" pivotButton="0" quotePrefix="0" xfId="0">
      <alignment horizontal="center" vertical="top" wrapText="1"/>
    </xf>
    <xf numFmtId="0" fontId="7" fillId="3" borderId="0" pivotButton="0" quotePrefix="0" xfId="0"/>
    <xf numFmtId="0" fontId="0" fillId="0" borderId="8" applyAlignment="1" pivotButton="0" quotePrefix="0" xfId="0">
      <alignment horizontal="center" vertical="center" wrapText="1"/>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Product Backlog v2</author>
  </authors>
  <commentList>
    <comment ref="M10" authorId="0" shapeId="0">
      <text>
        <t>Propuesta v2: 3 → 5 puntos, porque se suma la recuperación de clave, que faltaba. Pendiente de confirmar por el equipo.</t>
      </text>
    </comment>
    <comment ref="D61" authorId="0" shapeId="0">
      <text>
        <t>Propuesta v2: se quitan los signos vitales de esta lista porque duplicaban HU-15. Pendiente de confirmar por el equipo.</t>
      </text>
    </comment>
    <comment ref="L68" authorId="0" shapeId="0">
      <text>
        <t>Propuesta v2: Should → Could. Anotar horas cada día es trabajo extra para alguien cansado; el dato sirve sobre todo para el análisis. Pendiente de confirmar por el equipo.</t>
      </text>
    </comment>
    <comment ref="N77" authorId="0" shapeId="0">
      <text>
        <t>Propuesta v2: responsable Bastián → Luis, porque comparte los avisos con las alertas (E8). Pendiente de confirmar por el equipo.</t>
      </text>
    </comment>
  </commentList>
</comment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13</xdr:col>
      <xdr:colOff>399038</xdr:colOff>
      <xdr:row>13</xdr:row>
      <xdr:rowOff>31750</xdr:rowOff>
    </xdr:to>
    <xdr:pic>
      <xdr:nvPicPr>
        <xdr:cNvPr id="2" name="Imagen 1">
          <a:extLst>
            <a:ext uri="{FF2B5EF4-FFF2-40B4-BE49-F238E27FC236}">
              <a16:creationId xmlns:a16="http://schemas.microsoft.com/office/drawing/2014/main" id="{CD5E108E-F4BE-46A5-9D82-219B5F95D1E2}"/>
            </a:ext>
          </a:extLst>
        </xdr:cNvPr>
        <xdr:cNvPicPr>
          <a:picLocks noChangeAspect="1"/>
        </xdr:cNvPicPr>
      </xdr:nvPicPr>
      <xdr:blipFill>
        <a:blip xmlns:r="http://schemas.openxmlformats.org/officeDocument/2006/relationships" r:embed="rId1"/>
        <a:stretch>
          <a:fillRect/>
        </a:stretch>
      </xdr:blipFill>
      <xdr:spPr>
        <a:xfrm>
          <a:off x="0" y="31750"/>
          <a:ext cx="10305038" cy="2393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xml version="1.0" encoding="UTF-8" standalone="yes"?>
<Relationships xmlns="http://schemas.openxmlformats.org/package/2006/relationships"><Relationship Id="rIdImg1"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fitToPage="1"/>
  </sheetPr>
  <dimension ref="A1:P133"/>
  <sheetViews>
    <sheetView showGridLines="0" tabSelected="1" topLeftCell="A1" zoomScaleNormal="100" workbookViewId="0">
      <pane xSplit="2" ySplit="5" topLeftCell="C6" activePane="bottomRight" state="frozen"/>
      <selection pane="topRight" activeCell="B6" sqref="B6"/>
      <selection pane="bottomLeft"/>
      <selection pane="bottomRight" activeCell="B2" sqref="B2"/>
    </sheetView>
  </sheetViews>
  <sheetFormatPr baseColWidth="10" defaultColWidth="11.453125" defaultRowHeight="14.5"/>
  <cols>
    <col width="1.45" customWidth="1" style="2" min="1" max="1"/>
    <col width="13.6" customWidth="1" style="2" min="2" max="2"/>
    <col width="16" customWidth="1" style="2" min="3" max="3"/>
    <col width="30" customWidth="1" style="2" min="4" max="4"/>
    <col width="28" customWidth="1" style="2" min="5" max="5"/>
    <col width="10" customWidth="1" style="2" min="6" max="6"/>
    <col width="20" customWidth="1" style="2" min="7" max="7"/>
    <col width="30" bestFit="1" customWidth="1" style="2" min="8" max="8"/>
    <col width="27" customWidth="1" style="2" min="9" max="9"/>
    <col width="38" bestFit="1" customWidth="1" style="2" min="10" max="10"/>
    <col width="8" customWidth="1" style="2" min="11" max="11"/>
    <col width="10" customWidth="1" style="2" min="12" max="12"/>
    <col width="8" customWidth="1" style="2" min="13" max="13"/>
    <col width="15" customWidth="1" style="2" min="14" max="14"/>
    <col width="14" customWidth="1" style="2" min="15" max="15"/>
    <col width="46" customWidth="1" style="2" min="16" max="16"/>
    <col width="3" customWidth="1" style="2" min="17" max="17"/>
  </cols>
  <sheetData>
    <row r="1" ht="36" customHeight="1">
      <c r="B1" s="3" t="inlineStr">
        <is>
          <t>Desarrollo ágil: Historias de usuario y criterios de aceptación</t>
        </is>
      </c>
    </row>
    <row r="2" ht="21" customHeight="1">
      <c r="B2" s="17" t="inlineStr">
        <is>
          <t>Proyecto CuidaTrack · Product Backlog v2 · 1 de octubre de 2026</t>
        </is>
      </c>
    </row>
    <row r="4">
      <c r="C4" s="16" t="inlineStr">
        <is>
          <t>Enunciado de la historia</t>
        </is>
      </c>
      <c r="D4" s="18" t="n"/>
      <c r="E4" s="18" t="n"/>
      <c r="F4" s="19" t="n"/>
      <c r="G4" s="16" t="inlineStr">
        <is>
          <t>Criterios de aceptación</t>
        </is>
      </c>
      <c r="H4" s="18" t="n"/>
      <c r="I4" s="18" t="n"/>
      <c r="J4" s="19" t="n"/>
      <c r="K4" s="16" t="inlineStr">
        <is>
          <t>Planificación</t>
        </is>
      </c>
      <c r="L4" s="18" t="n"/>
      <c r="M4" s="18" t="n"/>
      <c r="N4" s="18" t="n"/>
      <c r="O4" s="19" t="n"/>
      <c r="P4" s="16" t="inlineStr">
        <is>
          <t>Detalle técnico</t>
        </is>
      </c>
    </row>
    <row r="5" ht="44.25" customHeight="1">
      <c r="B5" s="16" t="inlineStr">
        <is>
          <t>Identificador (ID) de la historia</t>
        </is>
      </c>
      <c r="C5" s="16" t="inlineStr">
        <is>
          <t>Rol</t>
        </is>
      </c>
      <c r="D5" s="16" t="inlineStr">
        <is>
          <t>Característica / Funcionalidad</t>
        </is>
      </c>
      <c r="E5" s="16" t="inlineStr">
        <is>
          <t>Razón / Resultado</t>
        </is>
      </c>
      <c r="F5" s="16" t="inlineStr">
        <is>
          <t>Número (#) de escenario</t>
        </is>
      </c>
      <c r="G5" s="16" t="inlineStr">
        <is>
          <t>Criterio de aceptación (Título)</t>
        </is>
      </c>
      <c r="H5" s="16" t="inlineStr">
        <is>
          <t>Contexto</t>
        </is>
      </c>
      <c r="I5" s="16" t="inlineStr">
        <is>
          <t>Evento</t>
        </is>
      </c>
      <c r="J5" s="16" t="inlineStr">
        <is>
          <t>Resultado / Comportamiento esperado</t>
        </is>
      </c>
      <c r="K5" s="16" t="inlineStr">
        <is>
          <t>Épica</t>
        </is>
      </c>
      <c r="L5" s="16" t="inlineStr">
        <is>
          <t>Prioridad (MoSCoW)</t>
        </is>
      </c>
      <c r="M5" s="16" t="inlineStr">
        <is>
          <t>Puntos</t>
        </is>
      </c>
      <c r="N5" s="16" t="inlineStr">
        <is>
          <t>Responsable de desarrollo</t>
        </is>
      </c>
      <c r="O5" s="16" t="inlineStr">
        <is>
          <t>Tipo / estado</t>
        </is>
      </c>
      <c r="P5" s="16" t="inlineStr">
        <is>
          <t>Criterios técnicos</t>
        </is>
      </c>
    </row>
    <row r="6" ht="50" customHeight="1">
      <c r="B6" s="5" t="inlineStr">
        <is>
          <t>HU-01</t>
        </is>
      </c>
      <c r="C6" s="5" t="inlineStr">
        <is>
          <t>Como cuidador/a</t>
        </is>
      </c>
      <c r="D6" s="5" t="inlineStr">
        <is>
          <t>Necesito crear mi cuenta solo con mi correo y una contraseña</t>
        </is>
      </c>
      <c r="E6" s="5" t="inlineStr">
        <is>
          <t>Con la finalidad de empezar a usar la app en pocos minutos.</t>
        </is>
      </c>
      <c r="F6" s="7" t="n">
        <v>1</v>
      </c>
      <c r="G6" s="5" t="inlineStr">
        <is>
          <t>Registro exitoso</t>
        </is>
      </c>
      <c r="H6" s="5" t="inlineStr">
        <is>
          <t>En caso que el correo no tiene una cuenta en la app</t>
        </is>
      </c>
      <c r="I6" s="5" t="inlineStr">
        <is>
          <t>Cuando completo correo y contraseña en la pantalla de registro y confirmo</t>
        </is>
      </c>
      <c r="J6" s="5" t="inlineStr">
        <is>
          <t>El sistema crea mi cuenta y me lleva a la pantalla de inicio.</t>
        </is>
      </c>
      <c r="K6" s="7" t="inlineStr">
        <is>
          <t>E1</t>
        </is>
      </c>
      <c r="L6" s="7" t="inlineStr">
        <is>
          <t>Must</t>
        </is>
      </c>
      <c r="M6" s="7" t="n">
        <v>3</v>
      </c>
      <c r="N6" s="5" t="inlineStr">
        <is>
          <t>Bastián Ñiripil</t>
        </is>
      </c>
      <c r="O6" s="5" t="inlineStr">
        <is>
          <t>En backlog</t>
        </is>
      </c>
      <c r="P6" s="5" t="inlineStr">
        <is>
          <t>Correo único. Contraseña de al menos 8 caracteres guardada con hash (bcrypt o argon2), nunca en texto plano.</t>
        </is>
      </c>
    </row>
    <row r="7" ht="35" customHeight="1">
      <c r="B7" s="20" t="n"/>
      <c r="C7" s="20" t="n"/>
      <c r="D7" s="20" t="n"/>
      <c r="E7" s="20" t="n"/>
      <c r="F7" s="7" t="n">
        <v>2</v>
      </c>
      <c r="G7" s="5" t="inlineStr">
        <is>
          <t>Correo ya registrado</t>
        </is>
      </c>
      <c r="H7" s="5" t="inlineStr">
        <is>
          <t>En caso que el correo ya tiene una cuenta</t>
        </is>
      </c>
      <c r="I7" s="5" t="inlineStr">
        <is>
          <t>Cuando intento registrarme con ese correo</t>
        </is>
      </c>
      <c r="J7" s="5" t="inlineStr">
        <is>
          <t>El sistema me avisa que el correo ya está en uso y me ofrece recuperar la clave.</t>
        </is>
      </c>
      <c r="K7" s="20" t="n"/>
      <c r="L7" s="20" t="n"/>
      <c r="M7" s="20" t="n"/>
      <c r="N7" s="20" t="n"/>
      <c r="O7" s="20" t="n"/>
      <c r="P7" s="20" t="n"/>
    </row>
    <row r="8" ht="35" customHeight="1">
      <c r="B8" s="21" t="n"/>
      <c r="C8" s="21" t="n"/>
      <c r="D8" s="21" t="n"/>
      <c r="E8" s="21" t="n"/>
      <c r="F8" s="7" t="n">
        <v>3</v>
      </c>
      <c r="G8" s="5" t="inlineStr">
        <is>
          <t>Contraseña muy corta</t>
        </is>
      </c>
      <c r="H8" s="5" t="inlineStr">
        <is>
          <t>En caso que la contraseña tiene menos de 8 caracteres</t>
        </is>
      </c>
      <c r="I8" s="5" t="inlineStr">
        <is>
          <t>Cuando intento crear la cuenta</t>
        </is>
      </c>
      <c r="J8" s="5" t="inlineStr">
        <is>
          <t>El sistema me explica que la contraseña es muy corta y no crea la cuenta.</t>
        </is>
      </c>
      <c r="K8" s="21" t="n"/>
      <c r="L8" s="21" t="n"/>
      <c r="M8" s="21" t="n"/>
      <c r="N8" s="21" t="n"/>
      <c r="O8" s="21" t="n"/>
      <c r="P8" s="21" t="n"/>
    </row>
    <row r="9" ht="6" customHeight="1">
      <c r="B9" s="8" t="n"/>
      <c r="C9" s="8" t="n"/>
      <c r="D9" s="8" t="n"/>
      <c r="E9" s="8" t="n"/>
      <c r="F9" s="8" t="n"/>
      <c r="G9" s="8" t="n"/>
      <c r="H9" s="8" t="n"/>
      <c r="I9" s="8" t="n"/>
      <c r="J9" s="8" t="n"/>
      <c r="K9" s="8" t="n"/>
      <c r="L9" s="8" t="n"/>
      <c r="M9" s="8" t="n"/>
      <c r="N9" s="8" t="n"/>
      <c r="O9" s="8" t="n"/>
      <c r="P9" s="8" t="n"/>
    </row>
    <row r="10" ht="35" customHeight="1">
      <c r="B10" s="5" t="inlineStr">
        <is>
          <t>HU-02</t>
        </is>
      </c>
      <c r="C10" s="5" t="inlineStr">
        <is>
          <t>Como cuidador/a</t>
        </is>
      </c>
      <c r="D10" s="5" t="inlineStr">
        <is>
          <t>Necesito entrar a la app desde mi celular sin escribir la clave cada vez, y recuperarla si la olvido</t>
        </is>
      </c>
      <c r="E10" s="5" t="inlineStr">
        <is>
          <t>Con la finalidad de anotar en el momento sin trabas.</t>
        </is>
      </c>
      <c r="F10" s="7" t="n">
        <v>1</v>
      </c>
      <c r="G10" s="5" t="inlineStr">
        <is>
          <t>Sesión recordada</t>
        </is>
      </c>
      <c r="H10" s="5" t="inlineStr">
        <is>
          <t>En caso que ya inicié sesión antes en mi celular</t>
        </is>
      </c>
      <c r="I10" s="5" t="inlineStr">
        <is>
          <t>Cuando abro la app</t>
        </is>
      </c>
      <c r="J10" s="5" t="inlineStr">
        <is>
          <t>El sistema me lleva directo a la pantalla de inicio sin pedir la clave.</t>
        </is>
      </c>
      <c r="K10" s="7" t="inlineStr">
        <is>
          <t>E1</t>
        </is>
      </c>
      <c r="L10" s="7" t="inlineStr">
        <is>
          <t>Must</t>
        </is>
      </c>
      <c r="M10" s="7" t="n">
        <v>5</v>
      </c>
      <c r="N10" s="5" t="inlineStr">
        <is>
          <t>Bastián Ñiripil</t>
        </is>
      </c>
      <c r="O10" s="5" t="inlineStr">
        <is>
          <t>En backlog</t>
        </is>
      </c>
      <c r="P10" s="5" t="inlineStr">
        <is>
          <t>Token con expiración (duración por definir: pregunta abierta). Cerrar sesión invalida el token. Mensaje de error genérico. Enlace de recuperación de un solo uso y con vencimiento.</t>
        </is>
      </c>
    </row>
    <row r="11" ht="50" customHeight="1">
      <c r="B11" s="20" t="n"/>
      <c r="C11" s="20" t="n"/>
      <c r="D11" s="20" t="n"/>
      <c r="E11" s="20" t="n"/>
      <c r="F11" s="7" t="n">
        <v>2</v>
      </c>
      <c r="G11" s="5" t="inlineStr">
        <is>
          <t>Datos incorrectos</t>
        </is>
      </c>
      <c r="H11" s="5" t="inlineStr">
        <is>
          <t>En caso que escribo mal mi correo o mi clave</t>
        </is>
      </c>
      <c r="I11" s="5" t="inlineStr">
        <is>
          <t>Cuando intento entrar</t>
        </is>
      </c>
      <c r="J11" s="5" t="inlineStr">
        <is>
          <t>El sistema muestra un mensaje claro de datos incorrectos, sin indicar cuál de los dos está mal.</t>
        </is>
      </c>
      <c r="K11" s="20" t="n"/>
      <c r="L11" s="20" t="n"/>
      <c r="M11" s="20" t="n"/>
      <c r="N11" s="20" t="n"/>
      <c r="O11" s="20" t="n"/>
      <c r="P11" s="20" t="n"/>
    </row>
    <row r="12" ht="35" customHeight="1">
      <c r="B12" s="20" t="n"/>
      <c r="C12" s="20" t="n"/>
      <c r="D12" s="20" t="n"/>
      <c r="E12" s="20" t="n"/>
      <c r="F12" s="7" t="n">
        <v>3</v>
      </c>
      <c r="G12" s="5" t="inlineStr">
        <is>
          <t>Recuperar la clave</t>
        </is>
      </c>
      <c r="H12" s="5" t="inlineStr">
        <is>
          <t>En caso que olvidé mi clave</t>
        </is>
      </c>
      <c r="I12" s="5" t="inlineStr">
        <is>
          <t>Cuando pido recuperarla con mi correo</t>
        </is>
      </c>
      <c r="J12" s="5" t="inlineStr">
        <is>
          <t>El sistema me envía un correo con un enlace para crear una clave nueva.</t>
        </is>
      </c>
      <c r="K12" s="20" t="n"/>
      <c r="L12" s="20" t="n"/>
      <c r="M12" s="20" t="n"/>
      <c r="N12" s="20" t="n"/>
      <c r="O12" s="20" t="n"/>
      <c r="P12" s="20" t="n"/>
    </row>
    <row r="13" ht="35" customHeight="1">
      <c r="B13" s="21" t="n"/>
      <c r="C13" s="21" t="n"/>
      <c r="D13" s="21" t="n"/>
      <c r="E13" s="21" t="n"/>
      <c r="F13" s="7" t="n">
        <v>4</v>
      </c>
      <c r="G13" s="5" t="inlineStr">
        <is>
          <t>Cerrar sesión</t>
        </is>
      </c>
      <c r="H13" s="5" t="inlineStr">
        <is>
          <t>En caso que tengo la sesión abierta</t>
        </is>
      </c>
      <c r="I13" s="5" t="inlineStr">
        <is>
          <t>Cuando elijo "Cerrar sesión" en el menú</t>
        </is>
      </c>
      <c r="J13" s="5" t="inlineStr">
        <is>
          <t>El sistema cierra la sesión y la próxima vez me pide la clave.</t>
        </is>
      </c>
      <c r="K13" s="21" t="n"/>
      <c r="L13" s="21" t="n"/>
      <c r="M13" s="21" t="n"/>
      <c r="N13" s="21" t="n"/>
      <c r="O13" s="21" t="n"/>
      <c r="P13" s="21" t="n"/>
    </row>
    <row r="14" ht="6" customHeight="1">
      <c r="B14" s="8" t="n"/>
      <c r="C14" s="8" t="n"/>
      <c r="D14" s="8" t="n"/>
      <c r="E14" s="8" t="n"/>
      <c r="F14" s="8" t="n"/>
      <c r="G14" s="8" t="n"/>
      <c r="H14" s="8" t="n"/>
      <c r="I14" s="8" t="n"/>
      <c r="J14" s="8" t="n"/>
      <c r="K14" s="8" t="n"/>
      <c r="L14" s="8" t="n"/>
      <c r="M14" s="8" t="n"/>
      <c r="N14" s="8" t="n"/>
      <c r="O14" s="8" t="n"/>
      <c r="P14" s="8" t="n"/>
    </row>
    <row r="15" ht="51.7" customHeight="1">
      <c r="B15" s="5" t="inlineStr">
        <is>
          <t>HU-03</t>
        </is>
      </c>
      <c r="C15" s="5" t="inlineStr">
        <is>
          <t>Como cuidador/a principal</t>
        </is>
      </c>
      <c r="D15" s="5" t="inlineStr">
        <is>
          <t>Necesito entender en palabras simples qué se hace con los datos de salud de mi familiar antes de ingresarlos</t>
        </is>
      </c>
      <c r="E15" s="5" t="inlineStr">
        <is>
          <t>Con la finalidad de decidir con confianza si los anoto en la app.</t>
        </is>
      </c>
      <c r="F15" s="7" t="n">
        <v>1</v>
      </c>
      <c r="G15" s="5" t="inlineStr">
        <is>
          <t>Primera vez</t>
        </is>
      </c>
      <c r="H15" s="5" t="inlineStr">
        <is>
          <t>En caso que todavía no agrego a mi familiar</t>
        </is>
      </c>
      <c r="I15" s="5" t="inlineStr">
        <is>
          <t>Cuando voy a registrarlo/a</t>
        </is>
      </c>
      <c r="J15" s="5" t="inlineStr">
        <is>
          <t>El sistema me muestra un texto breve, sin lenguaje legal, que dice qué se guarda, quién lo ve y cómo borrarlo.</t>
        </is>
      </c>
      <c r="K15" s="7" t="inlineStr">
        <is>
          <t>E1</t>
        </is>
      </c>
      <c r="L15" s="7" t="inlineStr">
        <is>
          <t>Must</t>
        </is>
      </c>
      <c r="M15" s="7" t="n">
        <v>3</v>
      </c>
      <c r="N15" s="5" t="inlineStr">
        <is>
          <t>Bastián Ñiripil</t>
        </is>
      </c>
      <c r="O15" s="5" t="inlineStr">
        <is>
          <t>En backlog</t>
        </is>
      </c>
      <c r="P15" s="5" t="inlineStr">
        <is>
          <t>Se guardan la fecha, la versión del texto aceptado y la fecha de revocación. Consentimiento expreso para datos de salud, como exige la Ley 21.719 (vigente desde el 1 de diciembre de 2026). El texto debe declarar que se guardan las consultas al asistente (HU-30). Pregunta abierta: los datos son de la persona mayor; definir si el cuidador declara contar con su autorización o ser su representante.</t>
        </is>
      </c>
    </row>
    <row r="16" ht="36.7" customHeight="1">
      <c r="B16" s="20" t="n"/>
      <c r="C16" s="20" t="n"/>
      <c r="D16" s="20" t="n"/>
      <c r="E16" s="20" t="n"/>
      <c r="F16" s="7" t="n">
        <v>2</v>
      </c>
      <c r="G16" s="5" t="inlineStr">
        <is>
          <t>No acepto el texto</t>
        </is>
      </c>
      <c r="H16" s="5" t="inlineStr">
        <is>
          <t>En caso que estoy leyendo el texto</t>
        </is>
      </c>
      <c r="I16" s="5" t="inlineStr">
        <is>
          <t>Cuando no lo acepto</t>
        </is>
      </c>
      <c r="J16" s="5" t="inlineStr">
        <is>
          <t>El sistema no me deja agregar a mi familiar y me explica por qué.</t>
        </is>
      </c>
      <c r="K16" s="20" t="n"/>
      <c r="L16" s="20" t="n"/>
      <c r="M16" s="20" t="n"/>
      <c r="N16" s="20" t="n"/>
      <c r="O16" s="20" t="n"/>
      <c r="P16" s="20" t="n"/>
    </row>
    <row r="17" ht="36.7" customHeight="1">
      <c r="B17" s="21" t="n"/>
      <c r="C17" s="21" t="n"/>
      <c r="D17" s="21" t="n"/>
      <c r="E17" s="21" t="n"/>
      <c r="F17" s="7" t="n">
        <v>3</v>
      </c>
      <c r="G17" s="5" t="inlineStr">
        <is>
          <t>Revisar o retirar la aceptación</t>
        </is>
      </c>
      <c r="H17" s="5" t="inlineStr">
        <is>
          <t>En caso que ya acepté el texto antes</t>
        </is>
      </c>
      <c r="I17" s="5" t="inlineStr">
        <is>
          <t>Cuando entro a la configuración</t>
        </is>
      </c>
      <c r="J17" s="5" t="inlineStr">
        <is>
          <t>El sistema me deja volver a leer el texto y retirar mi aceptación.</t>
        </is>
      </c>
      <c r="K17" s="21" t="n"/>
      <c r="L17" s="21" t="n"/>
      <c r="M17" s="21" t="n"/>
      <c r="N17" s="21" t="n"/>
      <c r="O17" s="21" t="n"/>
      <c r="P17" s="21" t="n"/>
    </row>
    <row r="18" ht="6" customHeight="1">
      <c r="B18" s="8" t="n"/>
      <c r="C18" s="8" t="n"/>
      <c r="D18" s="8" t="n"/>
      <c r="E18" s="8" t="n"/>
      <c r="F18" s="8" t="n"/>
      <c r="G18" s="8" t="n"/>
      <c r="H18" s="8" t="n"/>
      <c r="I18" s="8" t="n"/>
      <c r="J18" s="8" t="n"/>
      <c r="K18" s="8" t="n"/>
      <c r="L18" s="8" t="n"/>
      <c r="M18" s="8" t="n"/>
      <c r="N18" s="8" t="n"/>
      <c r="O18" s="8" t="n"/>
      <c r="P18" s="8" t="n"/>
    </row>
    <row r="19" ht="35" customHeight="1">
      <c r="B19" s="5" t="inlineStr">
        <is>
          <t>HU-04</t>
        </is>
      </c>
      <c r="C19" s="5" t="inlineStr">
        <is>
          <t>Como cuidador/a principal</t>
        </is>
      </c>
      <c r="D19" s="5" t="inlineStr">
        <is>
          <t>Necesito poder borrar mi cuenta y toda la información de mi familiar cuando deje de cuidarlo/a</t>
        </is>
      </c>
      <c r="E19" s="5" t="inlineStr">
        <is>
          <t>Con la finalidad de que esos datos no queden guardados en ninguna parte.</t>
        </is>
      </c>
      <c r="F19" s="7" t="n">
        <v>1</v>
      </c>
      <c r="G19" s="5" t="inlineStr">
        <is>
          <t>Pedir el borrado</t>
        </is>
      </c>
      <c r="H19" s="5" t="inlineStr">
        <is>
          <t>En caso que quiero dejar de usar la app</t>
        </is>
      </c>
      <c r="I19" s="5" t="inlineStr">
        <is>
          <t>Cuando elijo "Borrar mi cuenta" en la configuración</t>
        </is>
      </c>
      <c r="J19" s="5" t="inlineStr">
        <is>
          <t>El sistema me explica qué se va a borrar y me pide confirmar dos veces.</t>
        </is>
      </c>
      <c r="K19" s="7" t="inlineStr">
        <is>
          <t>E1</t>
        </is>
      </c>
      <c r="L19" s="7" t="inlineStr">
        <is>
          <t>Should</t>
        </is>
      </c>
      <c r="M19" s="7" t="n">
        <v>3</v>
      </c>
      <c r="N19" s="5" t="inlineStr">
        <is>
          <t>Bastián Ñiripil</t>
        </is>
      </c>
      <c r="O19" s="5" t="inlineStr">
        <is>
          <t>En backlog</t>
        </is>
      </c>
      <c r="P19" s="5" t="inlineStr">
        <is>
          <t>Se eliminan o anonimizan todos los registros asociados. Pregunta abierta: qué pasa con el acceso de los cuidadores secundarios cuando el principal borra su cuenta.</t>
        </is>
      </c>
    </row>
    <row r="20" ht="35" customHeight="1">
      <c r="B20" s="21" t="n"/>
      <c r="C20" s="21" t="n"/>
      <c r="D20" s="21" t="n"/>
      <c r="E20" s="21" t="n"/>
      <c r="F20" s="7" t="n">
        <v>2</v>
      </c>
      <c r="G20" s="5" t="inlineStr">
        <is>
          <t>Borrado terminado</t>
        </is>
      </c>
      <c r="H20" s="5" t="inlineStr">
        <is>
          <t>En caso que confirmé el borrado</t>
        </is>
      </c>
      <c r="I20" s="5" t="inlineStr">
        <is>
          <t>Cuando el proceso termina</t>
        </is>
      </c>
      <c r="J20" s="5" t="inlineStr">
        <is>
          <t>El sistema me envía un correo confirmando que la información fue eliminada.</t>
        </is>
      </c>
      <c r="K20" s="21" t="n"/>
      <c r="L20" s="21" t="n"/>
      <c r="M20" s="21" t="n"/>
      <c r="N20" s="21" t="n"/>
      <c r="O20" s="21" t="n"/>
      <c r="P20" s="21" t="n"/>
    </row>
    <row r="21" ht="6" customHeight="1">
      <c r="B21" s="8" t="n"/>
      <c r="C21" s="8" t="n"/>
      <c r="D21" s="8" t="n"/>
      <c r="E21" s="8" t="n"/>
      <c r="F21" s="8" t="n"/>
      <c r="G21" s="8" t="n"/>
      <c r="H21" s="8" t="n"/>
      <c r="I21" s="8" t="n"/>
      <c r="J21" s="8" t="n"/>
      <c r="K21" s="8" t="n"/>
      <c r="L21" s="8" t="n"/>
      <c r="M21" s="8" t="n"/>
      <c r="N21" s="8" t="n"/>
      <c r="O21" s="8" t="n"/>
      <c r="P21" s="8" t="n"/>
    </row>
    <row r="22" ht="50" customHeight="1">
      <c r="B22" s="5" t="inlineStr">
        <is>
          <t>HU-05</t>
        </is>
      </c>
      <c r="C22" s="5" t="inlineStr">
        <is>
          <t>Como cuidador/a principal</t>
        </is>
      </c>
      <c r="D22" s="5" t="inlineStr">
        <is>
          <t>Necesito agregar a mi familiar con unos pocos datos (nombre, edad y cuánta ayuda necesita)</t>
        </is>
      </c>
      <c r="E22" s="5" t="inlineStr">
        <is>
          <t>Con la finalidad de tener en un solo lugar todo lo de su cuidado.</t>
        </is>
      </c>
      <c r="F22" s="7" t="n">
        <v>1</v>
      </c>
      <c r="G22" s="5" t="inlineStr">
        <is>
          <t>Agregar a mi familiar</t>
        </is>
      </c>
      <c r="H22" s="5" t="inlineStr">
        <is>
          <t>En caso que acepté el texto sobre el uso de los datos</t>
        </is>
      </c>
      <c r="I22" s="5" t="inlineStr">
        <is>
          <t>Cuando completo nombre, fecha de nacimiento y cuánta ayuda necesita</t>
        </is>
      </c>
      <c r="J22" s="5" t="inlineStr">
        <is>
          <t>El sistema guarda a mi familiar y lo muestra en la pantalla de inicio.</t>
        </is>
      </c>
      <c r="K22" s="7" t="inlineStr">
        <is>
          <t>E2</t>
        </is>
      </c>
      <c r="L22" s="7" t="inlineStr">
        <is>
          <t>Must</t>
        </is>
      </c>
      <c r="M22" s="7" t="n">
        <v>2</v>
      </c>
      <c r="N22" s="5" t="inlineStr">
        <is>
          <t>Bastián Ñiripil</t>
        </is>
      </c>
      <c r="O22" s="5" t="inlineStr">
        <is>
          <t>En backlog</t>
        </is>
      </c>
      <c r="P22" s="5" t="inlineStr">
        <is>
          <t>"Cuánta ayuda necesita" se guarda como lista cerrada (leve, moderada, severa).</t>
        </is>
      </c>
    </row>
    <row r="23" ht="35" customHeight="1">
      <c r="B23" s="20" t="n"/>
      <c r="C23" s="20" t="n"/>
      <c r="D23" s="20" t="n"/>
      <c r="E23" s="20" t="n"/>
      <c r="F23" s="7" t="n">
        <v>2</v>
      </c>
      <c r="G23" s="5" t="inlineStr">
        <is>
          <t>Fecha imposible</t>
        </is>
      </c>
      <c r="H23" s="5" t="inlineStr">
        <is>
          <t>En caso que escribo una fecha de nacimiento futura</t>
        </is>
      </c>
      <c r="I23" s="5" t="inlineStr">
        <is>
          <t>Cuando intento guardar</t>
        </is>
      </c>
      <c r="J23" s="5" t="inlineStr">
        <is>
          <t>El sistema me pide corregir la fecha.</t>
        </is>
      </c>
      <c r="K23" s="20" t="n"/>
      <c r="L23" s="20" t="n"/>
      <c r="M23" s="20" t="n"/>
      <c r="N23" s="20" t="n"/>
      <c r="O23" s="20" t="n"/>
      <c r="P23" s="20" t="n"/>
    </row>
    <row r="24" ht="35" customHeight="1">
      <c r="B24" s="21" t="n"/>
      <c r="C24" s="21" t="n"/>
      <c r="D24" s="21" t="n"/>
      <c r="E24" s="21" t="n"/>
      <c r="F24" s="7" t="n">
        <v>3</v>
      </c>
      <c r="G24" s="5" t="inlineStr">
        <is>
          <t>Elegir cuánta ayuda necesita</t>
        </is>
      </c>
      <c r="H24" s="5" t="inlineStr">
        <is>
          <t>En caso que no sé qué opción elegir</t>
        </is>
      </c>
      <c r="I24" s="5" t="inlineStr">
        <is>
          <t>Cuando reviso las opciones</t>
        </is>
      </c>
      <c r="J24" s="5" t="inlineStr">
        <is>
          <t>El sistema describe cada opción en palabras simples.</t>
        </is>
      </c>
      <c r="K24" s="21" t="n"/>
      <c r="L24" s="21" t="n"/>
      <c r="M24" s="21" t="n"/>
      <c r="N24" s="21" t="n"/>
      <c r="O24" s="21" t="n"/>
      <c r="P24" s="21" t="n"/>
    </row>
    <row r="25" ht="6" customHeight="1">
      <c r="B25" s="8" t="n"/>
      <c r="C25" s="8" t="n"/>
      <c r="D25" s="8" t="n"/>
      <c r="E25" s="8" t="n"/>
      <c r="F25" s="8" t="n"/>
      <c r="G25" s="8" t="n"/>
      <c r="H25" s="8" t="n"/>
      <c r="I25" s="8" t="n"/>
      <c r="J25" s="8" t="n"/>
      <c r="K25" s="8" t="n"/>
      <c r="L25" s="8" t="n"/>
      <c r="M25" s="8" t="n"/>
      <c r="N25" s="8" t="n"/>
      <c r="O25" s="8" t="n"/>
      <c r="P25" s="8" t="n"/>
    </row>
    <row r="26" ht="50" customHeight="1">
      <c r="B26" s="5" t="inlineStr">
        <is>
          <t>HU-06</t>
        </is>
      </c>
      <c r="C26" s="5" t="inlineStr">
        <is>
          <t>Como cuidador/a principal</t>
        </is>
      </c>
      <c r="D26" s="5" t="inlineStr">
        <is>
          <t>Necesito invitar a los familiares que me ayudan</t>
        </is>
      </c>
      <c r="E26" s="5" t="inlineStr">
        <is>
          <t>Con la finalidad de que ellos también anoten lo que hacen y no tener que estar avisando todo por mensaje.</t>
        </is>
      </c>
      <c r="F26" s="7" t="n">
        <v>1</v>
      </c>
      <c r="G26" s="5" t="inlineStr">
        <is>
          <t>Invitar a un familiar</t>
        </is>
      </c>
      <c r="H26" s="5" t="inlineStr">
        <is>
          <t>En caso que tengo a mi familiar registrado</t>
        </is>
      </c>
      <c r="I26" s="5" t="inlineStr">
        <is>
          <t>Cuando invito a otra persona con su correo</t>
        </is>
      </c>
      <c r="J26" s="5" t="inlineStr">
        <is>
          <t>El sistema le envía la invitación y la muestra como pendiente en mi equipo de cuidado.</t>
        </is>
      </c>
      <c r="K26" s="7" t="inlineStr">
        <is>
          <t>E2</t>
        </is>
      </c>
      <c r="L26" s="7" t="inlineStr">
        <is>
          <t>Must</t>
        </is>
      </c>
      <c r="M26" s="7" t="n">
        <v>5</v>
      </c>
      <c r="N26" s="5" t="inlineStr">
        <is>
          <t>Bastián Ñiripil</t>
        </is>
      </c>
      <c r="O26" s="5" t="inlineStr">
        <is>
          <t>En backlog</t>
        </is>
      </c>
      <c r="P26" s="5" t="inlineStr">
        <is>
          <t>Invitación por correo con enlace de un solo uso. Relación N:M entre cuidador y persona mayor (ASIGNACION_CUIDADO) con rol principal o secundario.</t>
        </is>
      </c>
    </row>
    <row r="27" ht="35" customHeight="1">
      <c r="B27" s="20" t="n"/>
      <c r="C27" s="20" t="n"/>
      <c r="D27" s="20" t="n"/>
      <c r="E27" s="20" t="n"/>
      <c r="F27" s="7" t="n">
        <v>2</v>
      </c>
      <c r="G27" s="5" t="inlineStr">
        <is>
          <t>Aceptar la invitación</t>
        </is>
      </c>
      <c r="H27" s="5" t="inlineStr">
        <is>
          <t>En caso que un familiar recibió la invitación</t>
        </is>
      </c>
      <c r="I27" s="5" t="inlineStr">
        <is>
          <t>Cuando la acepta</t>
        </is>
      </c>
      <c r="J27" s="5" t="inlineStr">
        <is>
          <t>El sistema le da acceso solo a la persona mayor que le compartí.</t>
        </is>
      </c>
      <c r="K27" s="20" t="n"/>
      <c r="L27" s="20" t="n"/>
      <c r="M27" s="20" t="n"/>
      <c r="N27" s="20" t="n"/>
      <c r="O27" s="20" t="n"/>
      <c r="P27" s="20" t="n"/>
    </row>
    <row r="28" ht="35" customHeight="1">
      <c r="B28" s="21" t="n"/>
      <c r="C28" s="21" t="n"/>
      <c r="D28" s="21" t="n"/>
      <c r="E28" s="21" t="n"/>
      <c r="F28" s="7" t="n">
        <v>3</v>
      </c>
      <c r="G28" s="5" t="inlineStr">
        <is>
          <t>Quitar el acceso</t>
        </is>
      </c>
      <c r="H28" s="5" t="inlineStr">
        <is>
          <t>En caso que un familiar ya no ayuda en el cuidado</t>
        </is>
      </c>
      <c r="I28" s="5" t="inlineStr">
        <is>
          <t>Cuando le quito el acceso desde mi equipo de cuidado</t>
        </is>
      </c>
      <c r="J28" s="5" t="inlineStr">
        <is>
          <t>El sistema deja de mostrarle a mi familiar de inmediato.</t>
        </is>
      </c>
      <c r="K28" s="21" t="n"/>
      <c r="L28" s="21" t="n"/>
      <c r="M28" s="21" t="n"/>
      <c r="N28" s="21" t="n"/>
      <c r="O28" s="21" t="n"/>
      <c r="P28" s="21" t="n"/>
    </row>
    <row r="29" ht="6" customHeight="1">
      <c r="B29" s="8" t="n"/>
      <c r="C29" s="8" t="n"/>
      <c r="D29" s="8" t="n"/>
      <c r="E29" s="8" t="n"/>
      <c r="F29" s="8" t="n"/>
      <c r="G29" s="8" t="n"/>
      <c r="H29" s="8" t="n"/>
      <c r="I29" s="8" t="n"/>
      <c r="J29" s="8" t="n"/>
      <c r="K29" s="8" t="n"/>
      <c r="L29" s="8" t="n"/>
      <c r="M29" s="8" t="n"/>
      <c r="N29" s="8" t="n"/>
      <c r="O29" s="8" t="n"/>
      <c r="P29" s="8" t="n"/>
    </row>
    <row r="30" ht="35" customHeight="1">
      <c r="B30" s="5" t="inlineStr">
        <is>
          <t>HU-07</t>
        </is>
      </c>
      <c r="C30" s="5" t="inlineStr">
        <is>
          <t>Como cuidador/a principal</t>
        </is>
      </c>
      <c r="D30" s="5" t="inlineStr">
        <is>
          <t>Necesito estar seguro/a de que solo las personas que yo invité pueden ver la información de mi familiar</t>
        </is>
      </c>
      <c r="E30" s="5" t="inlineStr">
        <is>
          <t>Con la finalidad de confiarle a la app datos tan personales.</t>
        </is>
      </c>
      <c r="F30" s="7" t="n">
        <v>1</v>
      </c>
      <c r="G30" s="5" t="inlineStr">
        <is>
          <t>Ver quién tiene acceso</t>
        </is>
      </c>
      <c r="H30" s="5" t="inlineStr">
        <is>
          <t>En caso que invité a uno o más familiares</t>
        </is>
      </c>
      <c r="I30" s="5" t="inlineStr">
        <is>
          <t>Cuando entro a "Equipo de cuidado"</t>
        </is>
      </c>
      <c r="J30" s="5" t="inlineStr">
        <is>
          <t>El sistema me muestra exactamente quiénes tienen acceso.</t>
        </is>
      </c>
      <c r="K30" s="7" t="inlineStr">
        <is>
          <t>E2</t>
        </is>
      </c>
      <c r="L30" s="7" t="inlineStr">
        <is>
          <t>Must</t>
        </is>
      </c>
      <c r="M30" s="7" t="n">
        <v>3</v>
      </c>
      <c r="N30" s="5" t="inlineStr">
        <is>
          <t>Bastián Ñiripil</t>
        </is>
      </c>
      <c r="O30" s="5" t="inlineStr">
        <is>
          <t>En backlog</t>
        </is>
      </c>
      <c r="P30" s="5" t="inlineStr">
        <is>
          <t>Toda consulta a la API filtra por asignación. Pedir un recurso ajeno responde 403, verificado con una prueba automatizada.</t>
        </is>
      </c>
    </row>
    <row r="31" ht="50" customHeight="1">
      <c r="B31" s="21" t="n"/>
      <c r="C31" s="21" t="n"/>
      <c r="D31" s="21" t="n"/>
      <c r="E31" s="21" t="n"/>
      <c r="F31" s="7" t="n">
        <v>2</v>
      </c>
      <c r="G31" s="5" t="inlineStr">
        <is>
          <t>Intento sin invitación</t>
        </is>
      </c>
      <c r="H31" s="5" t="inlineStr">
        <is>
          <t>En caso que alguien sin invitación tiene un enlace a la información de mi familiar</t>
        </is>
      </c>
      <c r="I31" s="5" t="inlineStr">
        <is>
          <t>Cuando intenta abrirlo</t>
        </is>
      </c>
      <c r="J31" s="5" t="inlineStr">
        <is>
          <t>El sistema no le muestra la información.</t>
        </is>
      </c>
      <c r="K31" s="21" t="n"/>
      <c r="L31" s="21" t="n"/>
      <c r="M31" s="21" t="n"/>
      <c r="N31" s="21" t="n"/>
      <c r="O31" s="21" t="n"/>
      <c r="P31" s="21" t="n"/>
    </row>
    <row r="32" ht="6" customHeight="1">
      <c r="B32" s="8" t="n"/>
      <c r="C32" s="8" t="n"/>
      <c r="D32" s="8" t="n"/>
      <c r="E32" s="8" t="n"/>
      <c r="F32" s="8" t="n"/>
      <c r="G32" s="8" t="n"/>
      <c r="H32" s="8" t="n"/>
      <c r="I32" s="8" t="n"/>
      <c r="J32" s="8" t="n"/>
      <c r="K32" s="8" t="n"/>
      <c r="L32" s="8" t="n"/>
      <c r="M32" s="8" t="n"/>
      <c r="N32" s="8" t="n"/>
      <c r="O32" s="8" t="n"/>
      <c r="P32" s="8" t="n"/>
    </row>
    <row r="33" ht="35" customHeight="1">
      <c r="B33" s="5" t="inlineStr">
        <is>
          <t>HU-38</t>
        </is>
      </c>
      <c r="C33" s="5" t="inlineStr">
        <is>
          <t>Como cuidador/a que termina su turno</t>
        </is>
      </c>
      <c r="D33" s="5" t="inlineStr">
        <is>
          <t>Necesito dejar una nota rápida de cómo quedó mi familiar y qué falta</t>
        </is>
      </c>
      <c r="E33" s="5" t="inlineStr">
        <is>
          <t>Con la finalidad de que quien me reemplaza no parta de cero.</t>
        </is>
      </c>
      <c r="F33" s="7" t="n">
        <v>1</v>
      </c>
      <c r="G33" s="5" t="inlineStr">
        <is>
          <t>Dejar la nota</t>
        </is>
      </c>
      <c r="H33" s="5" t="inlineStr">
        <is>
          <t>En caso que estoy terminando mi turno</t>
        </is>
      </c>
      <c r="I33" s="5" t="inlineStr">
        <is>
          <t>Cuando escribo una nota corta y la guardo</t>
        </is>
      </c>
      <c r="J33" s="5" t="inlineStr">
        <is>
          <t>El sistema la guarda con mi nombre y la hora.</t>
        </is>
      </c>
      <c r="K33" s="7" t="inlineStr">
        <is>
          <t>E2</t>
        </is>
      </c>
      <c r="L33" s="7" t="inlineStr">
        <is>
          <t>Should</t>
        </is>
      </c>
      <c r="M33" s="7" t="n">
        <v>3</v>
      </c>
      <c r="N33" s="5" t="inlineStr">
        <is>
          <t>Bastián Ñiripil</t>
        </is>
      </c>
      <c r="O33" s="5" t="inlineStr">
        <is>
          <t>Propuesta nueva</t>
        </is>
      </c>
      <c r="P33" s="5" t="inlineStr">
        <is>
          <t>La nota queda asociada a la persona mayor, a su autor y a la fecha.</t>
        </is>
      </c>
    </row>
    <row r="34" ht="35" customHeight="1">
      <c r="B34" s="21" t="n"/>
      <c r="C34" s="21" t="n"/>
      <c r="D34" s="21" t="n"/>
      <c r="E34" s="21" t="n"/>
      <c r="F34" s="7" t="n">
        <v>2</v>
      </c>
      <c r="G34" s="5" t="inlineStr">
        <is>
          <t>Leer la nota</t>
        </is>
      </c>
      <c r="H34" s="5" t="inlineStr">
        <is>
          <t>En caso que otro familiar dejó una nota de turno</t>
        </is>
      </c>
      <c r="I34" s="5" t="inlineStr">
        <is>
          <t>Cuando abro la app al empezar mi turno</t>
        </is>
      </c>
      <c r="J34" s="5" t="inlineStr">
        <is>
          <t>El sistema me muestra la nota apenas entro.</t>
        </is>
      </c>
      <c r="K34" s="21" t="n"/>
      <c r="L34" s="21" t="n"/>
      <c r="M34" s="21" t="n"/>
      <c r="N34" s="21" t="n"/>
      <c r="O34" s="21" t="n"/>
      <c r="P34" s="21" t="n"/>
    </row>
    <row r="35" ht="6" customHeight="1">
      <c r="B35" s="8" t="n"/>
      <c r="C35" s="8" t="n"/>
      <c r="D35" s="8" t="n"/>
      <c r="E35" s="8" t="n"/>
      <c r="F35" s="8" t="n"/>
      <c r="G35" s="8" t="n"/>
      <c r="H35" s="8" t="n"/>
      <c r="I35" s="8" t="n"/>
      <c r="J35" s="8" t="n"/>
      <c r="K35" s="8" t="n"/>
      <c r="L35" s="8" t="n"/>
      <c r="M35" s="8" t="n"/>
      <c r="N35" s="8" t="n"/>
      <c r="O35" s="8" t="n"/>
      <c r="P35" s="8" t="n"/>
    </row>
    <row r="36" ht="50" customHeight="1">
      <c r="B36" s="5" t="inlineStr">
        <is>
          <t>HU-08</t>
        </is>
      </c>
      <c r="C36" s="5" t="inlineStr">
        <is>
          <t>Como cuidador/a</t>
        </is>
      </c>
      <c r="D36" s="5" t="inlineStr">
        <is>
          <t>Necesito anotar los remedios de mi familiar tal como vienen en la receta (cuál, cuánto y a qué horas)</t>
        </is>
      </c>
      <c r="E36" s="5" t="inlineStr">
        <is>
          <t>Con la finalidad de no tener que acordarme de todos los horarios.</t>
        </is>
      </c>
      <c r="F36" s="7" t="n">
        <v>1</v>
      </c>
      <c r="G36" s="5" t="inlineStr">
        <is>
          <t>Remedio con varias horas</t>
        </is>
      </c>
      <c r="H36" s="5" t="inlineStr">
        <is>
          <t>En caso que la receta indica un remedio varias veces al día</t>
        </is>
      </c>
      <c r="I36" s="5" t="inlineStr">
        <is>
          <t>Cuando lo anoto con su cantidad y sus horas (por ejemplo, 08:00, 14:00 y 20:00)</t>
        </is>
      </c>
      <c r="J36" s="5" t="inlineStr">
        <is>
          <t>El sistema lo agrega de inmediato a la lista del día, una vez por cada hora.</t>
        </is>
      </c>
      <c r="K36" s="7" t="inlineStr">
        <is>
          <t>E3</t>
        </is>
      </c>
      <c r="L36" s="7" t="inlineStr">
        <is>
          <t>Must</t>
        </is>
      </c>
      <c r="M36" s="7" t="n">
        <v>5</v>
      </c>
      <c r="N36" s="5" t="inlineStr">
        <is>
          <t>Bastián Ñiripil</t>
        </is>
      </c>
      <c r="O36" s="5" t="inlineStr">
        <is>
          <t>En backlog</t>
        </is>
      </c>
      <c r="P36" s="5" t="inlineStr">
        <is>
          <t>Varios horarios por tratamiento. Fecha de término opcional.</t>
        </is>
      </c>
    </row>
    <row r="37" ht="35" customHeight="1">
      <c r="B37" s="20" t="n"/>
      <c r="C37" s="20" t="n"/>
      <c r="D37" s="20" t="n"/>
      <c r="E37" s="20" t="n"/>
      <c r="F37" s="7" t="n">
        <v>2</v>
      </c>
      <c r="G37" s="5" t="inlineStr">
        <is>
          <t>Remedio permanente</t>
        </is>
      </c>
      <c r="H37" s="5" t="inlineStr">
        <is>
          <t>En caso que el remedio no tiene fecha de término</t>
        </is>
      </c>
      <c r="I37" s="5" t="inlineStr">
        <is>
          <t>Cuando lo guardo sin fecha de término</t>
        </is>
      </c>
      <c r="J37" s="5" t="inlineStr">
        <is>
          <t>El sistema lo sigue mostrando todos los días hasta que yo lo suspenda.</t>
        </is>
      </c>
      <c r="K37" s="20" t="n"/>
      <c r="L37" s="20" t="n"/>
      <c r="M37" s="20" t="n"/>
      <c r="N37" s="20" t="n"/>
      <c r="O37" s="20" t="n"/>
      <c r="P37" s="20" t="n"/>
    </row>
    <row r="38" ht="35" customHeight="1">
      <c r="B38" s="21" t="n"/>
      <c r="C38" s="21" t="n"/>
      <c r="D38" s="21" t="n"/>
      <c r="E38" s="21" t="n"/>
      <c r="F38" s="7" t="n">
        <v>3</v>
      </c>
      <c r="G38" s="5" t="inlineStr">
        <is>
          <t>Remedio con fecha de término</t>
        </is>
      </c>
      <c r="H38" s="5" t="inlineStr">
        <is>
          <t>En caso que el remedio tiene fecha de término</t>
        </is>
      </c>
      <c r="I38" s="5" t="inlineStr">
        <is>
          <t>Cuando pasa esa fecha</t>
        </is>
      </c>
      <c r="J38" s="5" t="inlineStr">
        <is>
          <t>El sistema deja de mostrarlo en la lista del día.</t>
        </is>
      </c>
      <c r="K38" s="21" t="n"/>
      <c r="L38" s="21" t="n"/>
      <c r="M38" s="21" t="n"/>
      <c r="N38" s="21" t="n"/>
      <c r="O38" s="21" t="n"/>
      <c r="P38" s="21" t="n"/>
    </row>
    <row r="39" ht="6" customHeight="1">
      <c r="B39" s="8" t="n"/>
      <c r="C39" s="8" t="n"/>
      <c r="D39" s="8" t="n"/>
      <c r="E39" s="8" t="n"/>
      <c r="F39" s="8" t="n"/>
      <c r="G39" s="8" t="n"/>
      <c r="H39" s="8" t="n"/>
      <c r="I39" s="8" t="n"/>
      <c r="J39" s="8" t="n"/>
      <c r="K39" s="8" t="n"/>
      <c r="L39" s="8" t="n"/>
      <c r="M39" s="8" t="n"/>
      <c r="N39" s="8" t="n"/>
      <c r="O39" s="8" t="n"/>
      <c r="P39" s="8" t="n"/>
    </row>
    <row r="40" ht="35" customHeight="1">
      <c r="B40" s="5" t="inlineStr">
        <is>
          <t>HU-09</t>
        </is>
      </c>
      <c r="C40" s="5" t="inlineStr">
        <is>
          <t>Como cuidador/a</t>
        </is>
      </c>
      <c r="D40" s="5" t="inlineStr">
        <is>
          <t>Necesito ver apenas abro la app qué remedios tocan hoy y cuáles ya se dieron</t>
        </is>
      </c>
      <c r="E40" s="5" t="inlineStr">
        <is>
          <t>Con la finalidad de saber en segundos qué falta.</t>
        </is>
      </c>
      <c r="F40" s="7" t="n">
        <v>1</v>
      </c>
      <c r="G40" s="5" t="inlineStr">
        <is>
          <t>Lista del día</t>
        </is>
      </c>
      <c r="H40" s="5" t="inlineStr">
        <is>
          <t>En caso que mi familiar tiene remedios para hoy</t>
        </is>
      </c>
      <c r="I40" s="5" t="inlineStr">
        <is>
          <t>Cuando abro la app</t>
        </is>
      </c>
      <c r="J40" s="5" t="inlineStr">
        <is>
          <t>El sistema me muestra los remedios del día ordenados por hora.</t>
        </is>
      </c>
      <c r="K40" s="7" t="inlineStr">
        <is>
          <t>E3</t>
        </is>
      </c>
      <c r="L40" s="7" t="inlineStr">
        <is>
          <t>Must</t>
        </is>
      </c>
      <c r="M40" s="7" t="n">
        <v>3</v>
      </c>
      <c r="N40" s="5" t="inlineStr">
        <is>
          <t>Bastián Ñiripil</t>
        </is>
      </c>
      <c r="O40" s="5" t="inlineStr">
        <is>
          <t>En backlog</t>
        </is>
      </c>
      <c r="P40" s="5" t="inlineStr">
        <is>
          <t>—</t>
        </is>
      </c>
    </row>
    <row r="41" ht="35" customHeight="1">
      <c r="B41" s="21" t="n"/>
      <c r="C41" s="21" t="n"/>
      <c r="D41" s="21" t="n"/>
      <c r="E41" s="21" t="n"/>
      <c r="F41" s="7" t="n">
        <v>2</v>
      </c>
      <c r="G41" s="5" t="inlineStr">
        <is>
          <t>Estados visibles</t>
        </is>
      </c>
      <c r="H41" s="5" t="inlineStr">
        <is>
          <t>En caso que hay remedios pendientes, dados y atrasados</t>
        </is>
      </c>
      <c r="I41" s="5" t="inlineStr">
        <is>
          <t>Cuando reviso la lista</t>
        </is>
      </c>
      <c r="J41" s="5" t="inlineStr">
        <is>
          <t>El sistema distingue cada estado con texto e ícono, no solo con color.</t>
        </is>
      </c>
      <c r="K41" s="21" t="n"/>
      <c r="L41" s="21" t="n"/>
      <c r="M41" s="21" t="n"/>
      <c r="N41" s="21" t="n"/>
      <c r="O41" s="21" t="n"/>
      <c r="P41" s="21" t="n"/>
    </row>
    <row r="42" ht="6" customHeight="1">
      <c r="B42" s="8" t="n"/>
      <c r="C42" s="8" t="n"/>
      <c r="D42" s="8" t="n"/>
      <c r="E42" s="8" t="n"/>
      <c r="F42" s="8" t="n"/>
      <c r="G42" s="8" t="n"/>
      <c r="H42" s="8" t="n"/>
      <c r="I42" s="8" t="n"/>
      <c r="J42" s="8" t="n"/>
      <c r="K42" s="8" t="n"/>
      <c r="L42" s="8" t="n"/>
      <c r="M42" s="8" t="n"/>
      <c r="N42" s="8" t="n"/>
      <c r="O42" s="8" t="n"/>
      <c r="P42" s="8" t="n"/>
    </row>
    <row r="43" ht="50" customHeight="1">
      <c r="B43" s="5" t="inlineStr">
        <is>
          <t>HU-10</t>
        </is>
      </c>
      <c r="C43" s="5" t="inlineStr">
        <is>
          <t>Como cuidador/a</t>
        </is>
      </c>
      <c r="D43" s="5" t="inlineStr">
        <is>
          <t>Necesito marcar un remedio como dado con un solo toque, aunque tenga una mano ocupada</t>
        </is>
      </c>
      <c r="E43" s="5" t="inlineStr">
        <is>
          <t>Con la finalidad de anotar sin dejar lo que estoy haciendo.</t>
        </is>
      </c>
      <c r="F43" s="7" t="n">
        <v>1</v>
      </c>
      <c r="G43" s="5" t="inlineStr">
        <is>
          <t>Marcar como dado</t>
        </is>
      </c>
      <c r="H43" s="5" t="inlineStr">
        <is>
          <t>En caso que hay un remedio pendiente en la pantalla de inicio</t>
        </is>
      </c>
      <c r="I43" s="5" t="inlineStr">
        <is>
          <t>Cuando toco el botón "Dado"</t>
        </is>
      </c>
      <c r="J43" s="5" t="inlineStr">
        <is>
          <t>El sistema lo marca como dado con la hora actual.</t>
        </is>
      </c>
      <c r="K43" s="7" t="inlineStr">
        <is>
          <t>E3</t>
        </is>
      </c>
      <c r="L43" s="7" t="inlineStr">
        <is>
          <t>Must</t>
        </is>
      </c>
      <c r="M43" s="7" t="n">
        <v>3</v>
      </c>
      <c r="N43" s="5" t="inlineStr">
        <is>
          <t>Bastián Ñiripil</t>
        </is>
      </c>
      <c r="O43" s="5" t="inlineStr">
        <is>
          <t>En backlog</t>
        </is>
      </c>
      <c r="P43" s="5" t="inlineStr">
        <is>
          <t>Se completa en máximo 2 interacciones desde la pantalla de inicio. Área táctil del botón de al menos 48 × 48 dp, alcanzable con el pulgar.</t>
        </is>
      </c>
    </row>
    <row r="44" ht="35" customHeight="1">
      <c r="B44" s="20" t="n"/>
      <c r="C44" s="20" t="n"/>
      <c r="D44" s="20" t="n"/>
      <c r="E44" s="20" t="n"/>
      <c r="F44" s="7" t="n">
        <v>2</v>
      </c>
      <c r="G44" s="5" t="inlineStr">
        <is>
          <t>Cambiar la hora</t>
        </is>
      </c>
      <c r="H44" s="5" t="inlineStr">
        <is>
          <t>En caso que lo di antes y lo estoy anotando después</t>
        </is>
      </c>
      <c r="I44" s="5" t="inlineStr">
        <is>
          <t>Cuando cambio la hora del registro</t>
        </is>
      </c>
      <c r="J44" s="5" t="inlineStr">
        <is>
          <t>El sistema guarda la hora que indiqué.</t>
        </is>
      </c>
      <c r="K44" s="20" t="n"/>
      <c r="L44" s="20" t="n"/>
      <c r="M44" s="20" t="n"/>
      <c r="N44" s="20" t="n"/>
      <c r="O44" s="20" t="n"/>
      <c r="P44" s="20" t="n"/>
    </row>
    <row r="45" ht="35" customHeight="1">
      <c r="B45" s="21" t="n"/>
      <c r="C45" s="21" t="n"/>
      <c r="D45" s="21" t="n"/>
      <c r="E45" s="21" t="n"/>
      <c r="F45" s="7" t="n">
        <v>3</v>
      </c>
      <c r="G45" s="5" t="inlineStr">
        <is>
          <t>Deshacer</t>
        </is>
      </c>
      <c r="H45" s="5" t="inlineStr">
        <is>
          <t>En caso que lo marqué por error</t>
        </is>
      </c>
      <c r="I45" s="5" t="inlineStr">
        <is>
          <t>Cuando toco "Deshacer" justo después</t>
        </is>
      </c>
      <c r="J45" s="5" t="inlineStr">
        <is>
          <t>El sistema vuelve el remedio a pendiente.</t>
        </is>
      </c>
      <c r="K45" s="21" t="n"/>
      <c r="L45" s="21" t="n"/>
      <c r="M45" s="21" t="n"/>
      <c r="N45" s="21" t="n"/>
      <c r="O45" s="21" t="n"/>
      <c r="P45" s="21" t="n"/>
    </row>
    <row r="46" ht="6" customHeight="1">
      <c r="B46" s="8" t="n"/>
      <c r="C46" s="8" t="n"/>
      <c r="D46" s="8" t="n"/>
      <c r="E46" s="8" t="n"/>
      <c r="F46" s="8" t="n"/>
      <c r="G46" s="8" t="n"/>
      <c r="H46" s="8" t="n"/>
      <c r="I46" s="8" t="n"/>
      <c r="J46" s="8" t="n"/>
      <c r="K46" s="8" t="n"/>
      <c r="L46" s="8" t="n"/>
      <c r="M46" s="8" t="n"/>
      <c r="N46" s="8" t="n"/>
      <c r="O46" s="8" t="n"/>
      <c r="P46" s="8" t="n"/>
    </row>
    <row r="47" ht="35" customHeight="1">
      <c r="B47" s="5" t="inlineStr">
        <is>
          <t>HU-11</t>
        </is>
      </c>
      <c r="C47" s="5" t="inlineStr">
        <is>
          <t>Como cuidador/a</t>
        </is>
      </c>
      <c r="D47" s="5" t="inlineStr">
        <is>
          <t>Necesito que la app me muestre si un remedio se dio bastante antes o después de su hora</t>
        </is>
      </c>
      <c r="E47" s="5" t="inlineStr">
        <is>
          <t>Con la finalidad de saber cuándo conviene preguntarle al médico o en la farmacia.</t>
        </is>
      </c>
      <c r="F47" s="7" t="n">
        <v>1</v>
      </c>
      <c r="G47" s="5" t="inlineStr">
        <is>
          <t>Dado a la hora</t>
        </is>
      </c>
      <c r="H47" s="5" t="inlineStr">
        <is>
          <t>En caso que el remedio se marca dentro del margen de su hora</t>
        </is>
      </c>
      <c r="I47" s="5" t="inlineStr">
        <is>
          <t>Cuando lo marco como dado</t>
        </is>
      </c>
      <c r="J47" s="5" t="inlineStr">
        <is>
          <t>El sistema lo muestra como dado a la hora.</t>
        </is>
      </c>
      <c r="K47" s="7" t="inlineStr">
        <is>
          <t>E3</t>
        </is>
      </c>
      <c r="L47" s="7" t="inlineStr">
        <is>
          <t>Must</t>
        </is>
      </c>
      <c r="M47" s="7" t="n">
        <v>3</v>
      </c>
      <c r="N47" s="5" t="inlineStr">
        <is>
          <t>Bastián Ñiripil</t>
        </is>
      </c>
      <c r="O47" s="5" t="inlineStr">
        <is>
          <t>En backlog</t>
        </is>
      </c>
      <c r="P47" s="5" t="inlineStr">
        <is>
          <t>Margen configurable, con propuesta de ±30 minutos. Pregunta abierta: margen de la ventana horaria. El resultado (dentro o fuera de la ventana) se guarda en el registro.</t>
        </is>
      </c>
    </row>
    <row r="48" ht="65" customHeight="1">
      <c r="B48" s="21" t="n"/>
      <c r="C48" s="21" t="n"/>
      <c r="D48" s="21" t="n"/>
      <c r="E48" s="21" t="n"/>
      <c r="F48" s="7" t="n">
        <v>2</v>
      </c>
      <c r="G48" s="5" t="inlineStr">
        <is>
          <t>Dado fuera de hora</t>
        </is>
      </c>
      <c r="H48" s="5" t="inlineStr">
        <is>
          <t>En caso que el remedio se marca fuera del margen de su hora</t>
        </is>
      </c>
      <c r="I48" s="5" t="inlineStr">
        <is>
          <t>Cuando lo marco como dado</t>
        </is>
      </c>
      <c r="J48" s="5" t="inlineStr">
        <is>
          <t>El sistema muestra un mensaje neutro, sin culpa (por ejemplo, "anotado 1 hora después de lo indicado"), y no indica qué hacer con la dosis siguiente.</t>
        </is>
      </c>
      <c r="K48" s="21" t="n"/>
      <c r="L48" s="21" t="n"/>
      <c r="M48" s="21" t="n"/>
      <c r="N48" s="21" t="n"/>
      <c r="O48" s="21" t="n"/>
      <c r="P48" s="21" t="n"/>
    </row>
    <row r="49" ht="6" customHeight="1">
      <c r="B49" s="8" t="n"/>
      <c r="C49" s="8" t="n"/>
      <c r="D49" s="8" t="n"/>
      <c r="E49" s="8" t="n"/>
      <c r="F49" s="8" t="n"/>
      <c r="G49" s="8" t="n"/>
      <c r="H49" s="8" t="n"/>
      <c r="I49" s="8" t="n"/>
      <c r="J49" s="8" t="n"/>
      <c r="K49" s="8" t="n"/>
      <c r="L49" s="8" t="n"/>
      <c r="M49" s="8" t="n"/>
      <c r="N49" s="8" t="n"/>
      <c r="O49" s="8" t="n"/>
      <c r="P49" s="8" t="n"/>
    </row>
    <row r="50" ht="35" customHeight="1">
      <c r="B50" s="5" t="inlineStr">
        <is>
          <t>HU-37</t>
        </is>
      </c>
      <c r="C50" s="5" t="inlineStr">
        <is>
          <t>Como cuidador/a</t>
        </is>
      </c>
      <c r="D50" s="5" t="inlineStr">
        <is>
          <t>Necesito que el celular me avise cuando toca un remedio y poder marcarlo como dado desde el mismo aviso</t>
        </is>
      </c>
      <c r="E50" s="5" t="inlineStr">
        <is>
          <t>Con la finalidad de no depender de mi memoria en los días pesados.</t>
        </is>
      </c>
      <c r="F50" s="7" t="n">
        <v>1</v>
      </c>
      <c r="G50" s="5" t="inlineStr">
        <is>
          <t>Aviso a la hora</t>
        </is>
      </c>
      <c r="H50" s="5" t="inlineStr">
        <is>
          <t>En caso que un remedio está programado para una hora</t>
        </is>
      </c>
      <c r="I50" s="5" t="inlineStr">
        <is>
          <t>Cuando llega esa hora</t>
        </is>
      </c>
      <c r="J50" s="5" t="inlineStr">
        <is>
          <t>El sistema me envía un aviso al celular con el nombre y la cantidad del remedio.</t>
        </is>
      </c>
      <c r="K50" s="7" t="inlineStr">
        <is>
          <t>E3</t>
        </is>
      </c>
      <c r="L50" s="7" t="inlineStr">
        <is>
          <t>Must</t>
        </is>
      </c>
      <c r="M50" s="7" t="n">
        <v>5</v>
      </c>
      <c r="N50" s="5" t="inlineStr">
        <is>
          <t>Luis Pérez</t>
        </is>
      </c>
      <c r="O50" s="5" t="inlineStr">
        <is>
          <t>Propuesta nueva</t>
        </is>
      </c>
      <c r="P50" s="5" t="inlineStr">
        <is>
          <t>Notificaciones push. En una app web, el iPhone solo las recibe si la app está instalada en la pantalla de inicio. Pregunta abierta: validar factibilidad antes de comprometer la historia.</t>
        </is>
      </c>
    </row>
    <row r="51" ht="35" customHeight="1">
      <c r="B51" s="21" t="n"/>
      <c r="C51" s="21" t="n"/>
      <c r="D51" s="21" t="n"/>
      <c r="E51" s="21" t="n"/>
      <c r="F51" s="7" t="n">
        <v>2</v>
      </c>
      <c r="G51" s="5" t="inlineStr">
        <is>
          <t>Marcar desde el aviso</t>
        </is>
      </c>
      <c r="H51" s="5" t="inlineStr">
        <is>
          <t>En caso que recibí el aviso</t>
        </is>
      </c>
      <c r="I51" s="5" t="inlineStr">
        <is>
          <t>Cuando toco "Dado" en el aviso</t>
        </is>
      </c>
      <c r="J51" s="5" t="inlineStr">
        <is>
          <t>El sistema lo registra como dado sin que tenga que abrir la app.</t>
        </is>
      </c>
      <c r="K51" s="21" t="n"/>
      <c r="L51" s="21" t="n"/>
      <c r="M51" s="21" t="n"/>
      <c r="N51" s="21" t="n"/>
      <c r="O51" s="21" t="n"/>
      <c r="P51" s="21" t="n"/>
    </row>
    <row r="52" ht="6" customHeight="1">
      <c r="B52" s="8" t="n"/>
      <c r="C52" s="8" t="n"/>
      <c r="D52" s="8" t="n"/>
      <c r="E52" s="8" t="n"/>
      <c r="F52" s="8" t="n"/>
      <c r="G52" s="8" t="n"/>
      <c r="H52" s="8" t="n"/>
      <c r="I52" s="8" t="n"/>
      <c r="J52" s="8" t="n"/>
      <c r="K52" s="8" t="n"/>
      <c r="L52" s="8" t="n"/>
      <c r="M52" s="8" t="n"/>
      <c r="N52" s="8" t="n"/>
      <c r="O52" s="8" t="n"/>
      <c r="P52" s="8" t="n"/>
    </row>
    <row r="53" ht="65" customHeight="1">
      <c r="B53" s="5" t="inlineStr">
        <is>
          <t>HU-12</t>
        </is>
      </c>
      <c r="C53" s="5" t="inlineStr">
        <is>
          <t>Como cuidador/a</t>
        </is>
      </c>
      <c r="D53" s="5" t="inlineStr">
        <is>
          <t>Necesito anotar rápido cuando mi familiar no se tomó un remedio y por qué</t>
        </is>
      </c>
      <c r="E53" s="5" t="inlineStr">
        <is>
          <t>Con la finalidad de tener esa información a mano en el próximo control.</t>
        </is>
      </c>
      <c r="F53" s="7" t="n">
        <v>1</v>
      </c>
      <c r="G53" s="5" t="inlineStr">
        <is>
          <t>Remedio no dado</t>
        </is>
      </c>
      <c r="H53" s="5" t="inlineStr">
        <is>
          <t>En caso que mi familiar no se tomó un remedio</t>
        </is>
      </c>
      <c r="I53" s="5" t="inlineStr">
        <is>
          <t>Cuando marco "No se dio" y elijo un motivo (lo rechazó, se acabó, indicación médica, otro)</t>
        </is>
      </c>
      <c r="J53" s="5" t="inlineStr">
        <is>
          <t>El sistema lo guarda como no dado, con su motivo.</t>
        </is>
      </c>
      <c r="K53" s="7" t="inlineStr">
        <is>
          <t>E3</t>
        </is>
      </c>
      <c r="L53" s="7" t="inlineStr">
        <is>
          <t>Should</t>
        </is>
      </c>
      <c r="M53" s="7" t="n">
        <v>2</v>
      </c>
      <c r="N53" s="5" t="inlineStr">
        <is>
          <t>Bastián Ñiripil</t>
        </is>
      </c>
      <c r="O53" s="5" t="inlineStr">
        <is>
          <t>En backlog</t>
        </is>
      </c>
      <c r="P53" s="5" t="inlineStr">
        <is>
          <t>Estado de la toma (administrada u omitida) y motivo de una lista cerrada.</t>
        </is>
      </c>
    </row>
    <row r="54" ht="20" customHeight="1">
      <c r="B54" s="21" t="n"/>
      <c r="C54" s="21" t="n"/>
      <c r="D54" s="21" t="n"/>
      <c r="E54" s="21" t="n"/>
      <c r="F54" s="7" t="n">
        <v>2</v>
      </c>
      <c r="G54" s="5" t="inlineStr">
        <is>
          <t>Nota opcional</t>
        </is>
      </c>
      <c r="H54" s="5" t="inlineStr">
        <is>
          <t>En caso que elegí un motivo</t>
        </is>
      </c>
      <c r="I54" s="5" t="inlineStr">
        <is>
          <t>Cuando agrego una nota</t>
        </is>
      </c>
      <c r="J54" s="5" t="inlineStr">
        <is>
          <t>El sistema la guarda junto al registro.</t>
        </is>
      </c>
      <c r="K54" s="21" t="n"/>
      <c r="L54" s="21" t="n"/>
      <c r="M54" s="21" t="n"/>
      <c r="N54" s="21" t="n"/>
      <c r="O54" s="21" t="n"/>
      <c r="P54" s="21" t="n"/>
    </row>
    <row r="55" ht="6" customHeight="1">
      <c r="B55" s="8" t="n"/>
      <c r="C55" s="8" t="n"/>
      <c r="D55" s="8" t="n"/>
      <c r="E55" s="8" t="n"/>
      <c r="F55" s="8" t="n"/>
      <c r="G55" s="8" t="n"/>
      <c r="H55" s="8" t="n"/>
      <c r="I55" s="8" t="n"/>
      <c r="J55" s="8" t="n"/>
      <c r="K55" s="8" t="n"/>
      <c r="L55" s="8" t="n"/>
      <c r="M55" s="8" t="n"/>
      <c r="N55" s="8" t="n"/>
      <c r="O55" s="8" t="n"/>
      <c r="P55" s="8" t="n"/>
    </row>
    <row r="56" ht="50" customHeight="1">
      <c r="B56" s="5" t="inlineStr">
        <is>
          <t>HU-13</t>
        </is>
      </c>
      <c r="C56" s="5" t="inlineStr">
        <is>
          <t>Como cuidador/a</t>
        </is>
      </c>
      <c r="D56" s="5" t="inlineStr">
        <is>
          <t>Necesito corregir algo que anoté mal</t>
        </is>
      </c>
      <c r="E56" s="5" t="inlineStr">
        <is>
          <t>Con la finalidad de que lo que le muestro al médico sea confiable.</t>
        </is>
      </c>
      <c r="F56" s="7" t="n">
        <v>1</v>
      </c>
      <c r="G56" s="5" t="inlineStr">
        <is>
          <t>Corregir un registro</t>
        </is>
      </c>
      <c r="H56" s="5" t="inlineStr">
        <is>
          <t>En caso que anoté algo mal</t>
        </is>
      </c>
      <c r="I56" s="5" t="inlineStr">
        <is>
          <t>Cuando lo corrijo desde el historial del día</t>
        </is>
      </c>
      <c r="J56" s="5" t="inlineStr">
        <is>
          <t>El sistema guarda el cambio y muestra el registro marcado como corregido.</t>
        </is>
      </c>
      <c r="K56" s="7" t="inlineStr">
        <is>
          <t>E3</t>
        </is>
      </c>
      <c r="L56" s="7" t="inlineStr">
        <is>
          <t>Should</t>
        </is>
      </c>
      <c r="M56" s="7" t="n">
        <v>3</v>
      </c>
      <c r="N56" s="5" t="inlineStr">
        <is>
          <t>Bastián Ñiripil</t>
        </is>
      </c>
      <c r="O56" s="5" t="inlineStr">
        <is>
          <t>En backlog</t>
        </is>
      </c>
      <c r="P56" s="5" t="inlineStr">
        <is>
          <t>Se conservan el valor anterior, la fecha de corrección y quién corrigió.</t>
        </is>
      </c>
    </row>
    <row r="57" ht="6" customHeight="1">
      <c r="B57" s="8" t="n"/>
      <c r="C57" s="8" t="n"/>
      <c r="D57" s="8" t="n"/>
      <c r="E57" s="8" t="n"/>
      <c r="F57" s="8" t="n"/>
      <c r="G57" s="8" t="n"/>
      <c r="H57" s="8" t="n"/>
      <c r="I57" s="8" t="n"/>
      <c r="J57" s="8" t="n"/>
      <c r="K57" s="8" t="n"/>
      <c r="L57" s="8" t="n"/>
      <c r="M57" s="8" t="n"/>
      <c r="N57" s="8" t="n"/>
      <c r="O57" s="8" t="n"/>
      <c r="P57" s="8" t="n"/>
    </row>
    <row r="58" ht="35" customHeight="1">
      <c r="B58" s="5" t="inlineStr">
        <is>
          <t>HU-41</t>
        </is>
      </c>
      <c r="C58" s="5" t="inlineStr">
        <is>
          <t>Como cuidador/a</t>
        </is>
      </c>
      <c r="D58" s="5" t="inlineStr">
        <is>
          <t>Necesito poder marcar un remedio aunque no tenga señal o internet</t>
        </is>
      </c>
      <c r="E58" s="5" t="inlineStr">
        <is>
          <t>Con la finalidad de no dejar de anotar por un problema de conexión.</t>
        </is>
      </c>
      <c r="F58" s="7" t="n">
        <v>1</v>
      </c>
      <c r="G58" s="5" t="inlineStr">
        <is>
          <t>Sin conexión</t>
        </is>
      </c>
      <c r="H58" s="5" t="inlineStr">
        <is>
          <t>En caso que el celular no tiene conexión</t>
        </is>
      </c>
      <c r="I58" s="5" t="inlineStr">
        <is>
          <t>Cuando marco un remedio como dado</t>
        </is>
      </c>
      <c r="J58" s="5" t="inlineStr">
        <is>
          <t>El sistema lo guarda y muestra que está pendiente de enviar.</t>
        </is>
      </c>
      <c r="K58" s="7" t="inlineStr">
        <is>
          <t>E3</t>
        </is>
      </c>
      <c r="L58" s="7" t="inlineStr">
        <is>
          <t>Could</t>
        </is>
      </c>
      <c r="M58" s="7" t="n">
        <v>5</v>
      </c>
      <c r="N58" s="5" t="inlineStr">
        <is>
          <t>Bastián Ñiripil</t>
        </is>
      </c>
      <c r="O58" s="5" t="inlineStr">
        <is>
          <t>Propuesta nueva</t>
        </is>
      </c>
      <c r="P58" s="5" t="inlineStr">
        <is>
          <t>Cola local de registros con sincronización al reconectar y manejo de conflictos. Supuesto a validar: conexión irregular en algunos hogares.</t>
        </is>
      </c>
    </row>
    <row r="59" ht="35" customHeight="1">
      <c r="B59" s="21" t="n"/>
      <c r="C59" s="21" t="n"/>
      <c r="D59" s="21" t="n"/>
      <c r="E59" s="21" t="n"/>
      <c r="F59" s="7" t="n">
        <v>2</v>
      </c>
      <c r="G59" s="5" t="inlineStr">
        <is>
          <t>Vuelve la conexión</t>
        </is>
      </c>
      <c r="H59" s="5" t="inlineStr">
        <is>
          <t>En caso que hay registros pendientes de enviar</t>
        </is>
      </c>
      <c r="I59" s="5" t="inlineStr">
        <is>
          <t>Cuando el celular recupera la conexión</t>
        </is>
      </c>
      <c r="J59" s="5" t="inlineStr">
        <is>
          <t>El sistema los envía solo, sin duplicarlos.</t>
        </is>
      </c>
      <c r="K59" s="21" t="n"/>
      <c r="L59" s="21" t="n"/>
      <c r="M59" s="21" t="n"/>
      <c r="N59" s="21" t="n"/>
      <c r="O59" s="21" t="n"/>
      <c r="P59" s="21" t="n"/>
    </row>
    <row r="60" ht="6" customHeight="1">
      <c r="B60" s="8" t="n"/>
      <c r="C60" s="8" t="n"/>
      <c r="D60" s="8" t="n"/>
      <c r="E60" s="8" t="n"/>
      <c r="F60" s="8" t="n"/>
      <c r="G60" s="8" t="n"/>
      <c r="H60" s="8" t="n"/>
      <c r="I60" s="8" t="n"/>
      <c r="J60" s="8" t="n"/>
      <c r="K60" s="8" t="n"/>
      <c r="L60" s="8" t="n"/>
      <c r="M60" s="8" t="n"/>
      <c r="N60" s="8" t="n"/>
      <c r="O60" s="8" t="n"/>
      <c r="P60" s="8" t="n"/>
    </row>
    <row r="61" ht="35" customHeight="1">
      <c r="B61" s="5" t="inlineStr">
        <is>
          <t>HU-14</t>
        </is>
      </c>
      <c r="C61" s="5" t="inlineStr">
        <is>
          <t>Como cuidador/a</t>
        </is>
      </c>
      <c r="D61" s="5" t="inlineStr">
        <is>
          <t>Necesito anotar con un par de toques lo que hice (baño, comida, ayuda para moverse)</t>
        </is>
      </c>
      <c r="E61" s="5" t="inlineStr">
        <is>
          <t>Con la finalidad de que el resto de la familia sepa qué se hizo hoy sin preguntarme.</t>
        </is>
      </c>
      <c r="F61" s="7" t="n">
        <v>1</v>
      </c>
      <c r="G61" s="5" t="inlineStr">
        <is>
          <t>Anotar un cuidado</t>
        </is>
      </c>
      <c r="H61" s="5" t="inlineStr">
        <is>
          <t>En caso que terminé un cuidado</t>
        </is>
      </c>
      <c r="I61" s="5" t="inlineStr">
        <is>
          <t>Cuando lo elijo desde los botones con ícono y texto</t>
        </is>
      </c>
      <c r="J61" s="5" t="inlineStr">
        <is>
          <t>El sistema lo guarda con la hora actual; todo el registro toma menos de 30 segundos.</t>
        </is>
      </c>
      <c r="K61" s="7" t="inlineStr">
        <is>
          <t>E4</t>
        </is>
      </c>
      <c r="L61" s="7" t="inlineStr">
        <is>
          <t>Must</t>
        </is>
      </c>
      <c r="M61" s="7" t="n">
        <v>3</v>
      </c>
      <c r="N61" s="5" t="inlineStr">
        <is>
          <t>Bastián Ñiripil</t>
        </is>
      </c>
      <c r="O61" s="5" t="inlineStr">
        <is>
          <t>En backlog</t>
        </is>
      </c>
      <c r="P61" s="5" t="inlineStr">
        <is>
          <t>Tipo de actividad de una lista cerrada.</t>
        </is>
      </c>
    </row>
    <row r="62" ht="35" customHeight="1">
      <c r="B62" s="21" t="n"/>
      <c r="C62" s="21" t="n"/>
      <c r="D62" s="21" t="n"/>
      <c r="E62" s="21" t="n"/>
      <c r="F62" s="7" t="n">
        <v>2</v>
      </c>
      <c r="G62" s="5" t="inlineStr">
        <is>
          <t>Agregar una nota</t>
        </is>
      </c>
      <c r="H62" s="5" t="inlineStr">
        <is>
          <t>En caso que quiero dejar un detalle</t>
        </is>
      </c>
      <c r="I62" s="5" t="inlineStr">
        <is>
          <t>Cuando agrego una nota opcional</t>
        </is>
      </c>
      <c r="J62" s="5" t="inlineStr">
        <is>
          <t>El sistema la guarda junto al cuidado.</t>
        </is>
      </c>
      <c r="K62" s="21" t="n"/>
      <c r="L62" s="21" t="n"/>
      <c r="M62" s="21" t="n"/>
      <c r="N62" s="21" t="n"/>
      <c r="O62" s="21" t="n"/>
      <c r="P62" s="21" t="n"/>
    </row>
    <row r="63" ht="6" customHeight="1">
      <c r="B63" s="8" t="n"/>
      <c r="C63" s="8" t="n"/>
      <c r="D63" s="8" t="n"/>
      <c r="E63" s="8" t="n"/>
      <c r="F63" s="8" t="n"/>
      <c r="G63" s="8" t="n"/>
      <c r="H63" s="8" t="n"/>
      <c r="I63" s="8" t="n"/>
      <c r="J63" s="8" t="n"/>
      <c r="K63" s="8" t="n"/>
      <c r="L63" s="8" t="n"/>
      <c r="M63" s="8" t="n"/>
      <c r="N63" s="8" t="n"/>
      <c r="O63" s="8" t="n"/>
      <c r="P63" s="8" t="n"/>
    </row>
    <row r="64" ht="35" customHeight="1">
      <c r="B64" s="5" t="inlineStr">
        <is>
          <t>HU-15</t>
        </is>
      </c>
      <c r="C64" s="5" t="inlineStr">
        <is>
          <t>Como cuidador/a</t>
        </is>
      </c>
      <c r="D64" s="5" t="inlineStr">
        <is>
          <t>Necesito anotar la presión, el azúcar, la temperatura o la saturación cuando las mido</t>
        </is>
      </c>
      <c r="E64" s="5" t="inlineStr">
        <is>
          <t>Con la finalidad de mostrarle al médico cómo han variado sin andar con papeles.</t>
        </is>
      </c>
      <c r="F64" s="7" t="n">
        <v>1</v>
      </c>
      <c r="G64" s="5" t="inlineStr">
        <is>
          <t>Anotar una medición</t>
        </is>
      </c>
      <c r="H64" s="5" t="inlineStr">
        <is>
          <t>En caso que medí un signo vital</t>
        </is>
      </c>
      <c r="I64" s="5" t="inlineStr">
        <is>
          <t>Cuando escribo el número</t>
        </is>
      </c>
      <c r="J64" s="5" t="inlineStr">
        <is>
          <t>El sistema agrega la unidad sola y guarda la medición.</t>
        </is>
      </c>
      <c r="K64" s="7" t="inlineStr">
        <is>
          <t>E4</t>
        </is>
      </c>
      <c r="L64" s="7" t="inlineStr">
        <is>
          <t>Should</t>
        </is>
      </c>
      <c r="M64" s="7" t="n">
        <v>3</v>
      </c>
      <c r="N64" s="5" t="inlineStr">
        <is>
          <t>Bastián Ñiripil</t>
        </is>
      </c>
      <c r="O64" s="5" t="inlineStr">
        <is>
          <t>En backlog</t>
        </is>
      </c>
      <c r="P64" s="5" t="inlineStr">
        <is>
          <t>Cada signo vital con valor numérico, unidad y rango de validación. Sin interpretación clínica.</t>
        </is>
      </c>
    </row>
    <row r="65" ht="50" customHeight="1">
      <c r="B65" s="20" t="n"/>
      <c r="C65" s="20" t="n"/>
      <c r="D65" s="20" t="n"/>
      <c r="E65" s="20" t="n"/>
      <c r="F65" s="7" t="n">
        <v>2</v>
      </c>
      <c r="G65" s="5" t="inlineStr">
        <is>
          <t>Valor imposible</t>
        </is>
      </c>
      <c r="H65" s="5" t="inlineStr">
        <is>
          <t>En caso que escribo un valor imposible (por ejemplo, temperatura sobre 45 °C)</t>
        </is>
      </c>
      <c r="I65" s="5" t="inlineStr">
        <is>
          <t>Cuando intento guardar</t>
        </is>
      </c>
      <c r="J65" s="5" t="inlineStr">
        <is>
          <t>El sistema me pide revisarlo.</t>
        </is>
      </c>
      <c r="K65" s="20" t="n"/>
      <c r="L65" s="20" t="n"/>
      <c r="M65" s="20" t="n"/>
      <c r="N65" s="20" t="n"/>
      <c r="O65" s="20" t="n"/>
      <c r="P65" s="20" t="n"/>
    </row>
    <row r="66" ht="50" customHeight="1">
      <c r="B66" s="21" t="n"/>
      <c r="C66" s="21" t="n"/>
      <c r="D66" s="21" t="n"/>
      <c r="E66" s="21" t="n"/>
      <c r="F66" s="7" t="n">
        <v>3</v>
      </c>
      <c r="G66" s="5" t="inlineStr">
        <is>
          <t>Sin interpretación médica</t>
        </is>
      </c>
      <c r="H66" s="5" t="inlineStr">
        <is>
          <t>En caso que guardé una medición</t>
        </is>
      </c>
      <c r="I66" s="5" t="inlineStr">
        <is>
          <t>Cuando la reviso</t>
        </is>
      </c>
      <c r="J66" s="5" t="inlineStr">
        <is>
          <t>El sistema no dice si el valor es bueno o malo y sugiere consultar en el CESFAM si tengo dudas.</t>
        </is>
      </c>
      <c r="K66" s="21" t="n"/>
      <c r="L66" s="21" t="n"/>
      <c r="M66" s="21" t="n"/>
      <c r="N66" s="21" t="n"/>
      <c r="O66" s="21" t="n"/>
      <c r="P66" s="21" t="n"/>
    </row>
    <row r="67" ht="6" customHeight="1">
      <c r="B67" s="8" t="n"/>
      <c r="C67" s="8" t="n"/>
      <c r="D67" s="8" t="n"/>
      <c r="E67" s="8" t="n"/>
      <c r="F67" s="8" t="n"/>
      <c r="G67" s="8" t="n"/>
      <c r="H67" s="8" t="n"/>
      <c r="I67" s="8" t="n"/>
      <c r="J67" s="8" t="n"/>
      <c r="K67" s="8" t="n"/>
      <c r="L67" s="8" t="n"/>
      <c r="M67" s="8" t="n"/>
      <c r="N67" s="8" t="n"/>
      <c r="O67" s="8" t="n"/>
      <c r="P67" s="8" t="n"/>
    </row>
    <row r="68" ht="35" customHeight="1">
      <c r="B68" s="5" t="inlineStr">
        <is>
          <t>HU-16</t>
        </is>
      </c>
      <c r="C68" s="5" t="inlineStr">
        <is>
          <t>Como cuidador/a principal</t>
        </is>
      </c>
      <c r="D68" s="5" t="inlineStr">
        <is>
          <t>Necesito ver cuánto tiempo le dedico al cuidado cada semana</t>
        </is>
      </c>
      <c r="E68" s="5" t="inlineStr">
        <is>
          <t>Con la finalidad de mostrárselo a mi familia cuando pida repartir mejor la carga.</t>
        </is>
      </c>
      <c r="F68" s="7" t="n">
        <v>1</v>
      </c>
      <c r="G68" s="5" t="inlineStr">
        <is>
          <t>Resumen semanal</t>
        </is>
      </c>
      <c r="H68" s="5" t="inlineStr">
        <is>
          <t>En caso que anoté tiempo de cuidado durante la semana</t>
        </is>
      </c>
      <c r="I68" s="5" t="inlineStr">
        <is>
          <t>Cuando abro el resumen semanal</t>
        </is>
      </c>
      <c r="J68" s="5" t="inlineStr">
        <is>
          <t>El sistema muestra el total de horas dedicadas.</t>
        </is>
      </c>
      <c r="K68" s="7" t="inlineStr">
        <is>
          <t>E4</t>
        </is>
      </c>
      <c r="L68" s="7" t="inlineStr">
        <is>
          <t>Could</t>
        </is>
      </c>
      <c r="M68" s="7" t="n">
        <v>2</v>
      </c>
      <c r="N68" s="5" t="inlineStr">
        <is>
          <t>Bastián Ñiripil</t>
        </is>
      </c>
      <c r="O68" s="5" t="inlineStr">
        <is>
          <t>En backlog</t>
        </is>
      </c>
      <c r="P68" s="5" t="inlineStr">
        <is>
          <t>Un registro por día y persona, entre 0 y 24 horas. Más adelante: estimar el tiempo desde los registros en vez de pedirlo.</t>
        </is>
      </c>
    </row>
    <row r="69" ht="35" customHeight="1">
      <c r="B69" s="21" t="n"/>
      <c r="C69" s="21" t="n"/>
      <c r="D69" s="21" t="n"/>
      <c r="E69" s="21" t="n"/>
      <c r="F69" s="7" t="n">
        <v>2</v>
      </c>
      <c r="G69" s="5" t="inlineStr">
        <is>
          <t>Compartir el resumen</t>
        </is>
      </c>
      <c r="H69" s="5" t="inlineStr">
        <is>
          <t>En caso que estoy viendo el resumen</t>
        </is>
      </c>
      <c r="I69" s="5" t="inlineStr">
        <is>
          <t>Cuando elijo compartirlo</t>
        </is>
      </c>
      <c r="J69" s="5" t="inlineStr">
        <is>
          <t>El sistema me deja enviarlo a mi familia desde el celular.</t>
        </is>
      </c>
      <c r="K69" s="21" t="n"/>
      <c r="L69" s="21" t="n"/>
      <c r="M69" s="21" t="n"/>
      <c r="N69" s="21" t="n"/>
      <c r="O69" s="21" t="n"/>
      <c r="P69" s="21" t="n"/>
    </row>
    <row r="70" ht="6" customHeight="1">
      <c r="B70" s="8" t="n"/>
      <c r="C70" s="8" t="n"/>
      <c r="D70" s="8" t="n"/>
      <c r="E70" s="8" t="n"/>
      <c r="F70" s="8" t="n"/>
      <c r="G70" s="8" t="n"/>
      <c r="H70" s="8" t="n"/>
      <c r="I70" s="8" t="n"/>
      <c r="J70" s="8" t="n"/>
      <c r="K70" s="8" t="n"/>
      <c r="L70" s="8" t="n"/>
      <c r="M70" s="8" t="n"/>
      <c r="N70" s="8" t="n"/>
      <c r="O70" s="8" t="n"/>
      <c r="P70" s="8" t="n"/>
    </row>
    <row r="71" ht="35" customHeight="1">
      <c r="B71" s="5" t="inlineStr">
        <is>
          <t>HU-17</t>
        </is>
      </c>
      <c r="C71" s="5" t="inlineStr">
        <is>
          <t>Como cuidador/a</t>
        </is>
      </c>
      <c r="D71" s="5" t="inlineStr">
        <is>
          <t>Necesito anotar las horas médicas de mi familiar (día, hora, especialidad y lugar)</t>
        </is>
      </c>
      <c r="E71" s="5" t="inlineStr">
        <is>
          <t>Con la finalidad de no perder ninguna.</t>
        </is>
      </c>
      <c r="F71" s="7" t="n">
        <v>1</v>
      </c>
      <c r="G71" s="5" t="inlineStr">
        <is>
          <t>Anotar una hora médica</t>
        </is>
      </c>
      <c r="H71" s="5" t="inlineStr">
        <is>
          <t>En caso que mi familiar tiene una hora médica</t>
        </is>
      </c>
      <c r="I71" s="5" t="inlineStr">
        <is>
          <t>Cuando la anoto con día, hora, especialidad y lugar</t>
        </is>
      </c>
      <c r="J71" s="5" t="inlineStr">
        <is>
          <t>El sistema la muestra en "Próximas horas" y mi equipo de cuidado también la ve.</t>
        </is>
      </c>
      <c r="K71" s="7" t="inlineStr">
        <is>
          <t>E5</t>
        </is>
      </c>
      <c r="L71" s="7" t="inlineStr">
        <is>
          <t>Must</t>
        </is>
      </c>
      <c r="M71" s="7" t="n">
        <v>2</v>
      </c>
      <c r="N71" s="5" t="inlineStr">
        <is>
          <t>Bastián Ñiripil</t>
        </is>
      </c>
      <c r="O71" s="5" t="inlineStr">
        <is>
          <t>En backlog</t>
        </is>
      </c>
      <c r="P71" s="5" t="inlineStr">
        <is>
          <t>—</t>
        </is>
      </c>
    </row>
    <row r="72" ht="35" customHeight="1">
      <c r="B72" s="21" t="n"/>
      <c r="C72" s="21" t="n"/>
      <c r="D72" s="21" t="n"/>
      <c r="E72" s="21" t="n"/>
      <c r="F72" s="7" t="n">
        <v>2</v>
      </c>
      <c r="G72" s="5" t="inlineStr">
        <is>
          <t>Fecha pasada</t>
        </is>
      </c>
      <c r="H72" s="5" t="inlineStr">
        <is>
          <t>En caso que escribo una fecha que ya pasó</t>
        </is>
      </c>
      <c r="I72" s="5" t="inlineStr">
        <is>
          <t>Cuando intento guardar</t>
        </is>
      </c>
      <c r="J72" s="5" t="inlineStr">
        <is>
          <t>El sistema me pide corregir la fecha.</t>
        </is>
      </c>
      <c r="K72" s="21" t="n"/>
      <c r="L72" s="21" t="n"/>
      <c r="M72" s="21" t="n"/>
      <c r="N72" s="21" t="n"/>
      <c r="O72" s="21" t="n"/>
      <c r="P72" s="21" t="n"/>
    </row>
    <row r="73" ht="6" customHeight="1">
      <c r="B73" s="8" t="n"/>
      <c r="C73" s="8" t="n"/>
      <c r="D73" s="8" t="n"/>
      <c r="E73" s="8" t="n"/>
      <c r="F73" s="8" t="n"/>
      <c r="G73" s="8" t="n"/>
      <c r="H73" s="8" t="n"/>
      <c r="I73" s="8" t="n"/>
      <c r="J73" s="8" t="n"/>
      <c r="K73" s="8" t="n"/>
      <c r="L73" s="8" t="n"/>
      <c r="M73" s="8" t="n"/>
      <c r="N73" s="8" t="n"/>
      <c r="O73" s="8" t="n"/>
      <c r="P73" s="8" t="n"/>
    </row>
    <row r="74" ht="50" customHeight="1">
      <c r="B74" s="5" t="inlineStr">
        <is>
          <t>HU-18</t>
        </is>
      </c>
      <c r="C74" s="5" t="inlineStr">
        <is>
          <t>Como cuidador/a</t>
        </is>
      </c>
      <c r="D74" s="5" t="inlineStr">
        <is>
          <t>Necesito anotar lo que dijo el médico después de cada hora</t>
        </is>
      </c>
      <c r="E74" s="5" t="inlineStr">
        <is>
          <t>Con la finalidad de no olvidarlo y que el resto de la familia lo sepa.</t>
        </is>
      </c>
      <c r="F74" s="7" t="n">
        <v>1</v>
      </c>
      <c r="G74" s="5" t="inlineStr">
        <is>
          <t>Actualizar el estado</t>
        </is>
      </c>
      <c r="H74" s="5" t="inlineStr">
        <is>
          <t>En caso que la hora médica ya pasó</t>
        </is>
      </c>
      <c r="I74" s="5" t="inlineStr">
        <is>
          <t>Cuando la marco como realizada, cancelada o cambiada</t>
        </is>
      </c>
      <c r="J74" s="5" t="inlineStr">
        <is>
          <t>El sistema actualiza su estado.</t>
        </is>
      </c>
      <c r="K74" s="7" t="inlineStr">
        <is>
          <t>E5</t>
        </is>
      </c>
      <c r="L74" s="7" t="inlineStr">
        <is>
          <t>Should</t>
        </is>
      </c>
      <c r="M74" s="7" t="n">
        <v>2</v>
      </c>
      <c r="N74" s="5" t="inlineStr">
        <is>
          <t>Bastián Ñiripil</t>
        </is>
      </c>
      <c r="O74" s="5" t="inlineStr">
        <is>
          <t>En backlog</t>
        </is>
      </c>
      <c r="P74" s="5" t="inlineStr">
        <is>
          <t>Estado de la cita de una lista cerrada.</t>
        </is>
      </c>
    </row>
    <row r="75" ht="35" customHeight="1">
      <c r="B75" s="21" t="n"/>
      <c r="C75" s="21" t="n"/>
      <c r="D75" s="21" t="n"/>
      <c r="E75" s="21" t="n"/>
      <c r="F75" s="7" t="n">
        <v>2</v>
      </c>
      <c r="G75" s="5" t="inlineStr">
        <is>
          <t>Anotar indicaciones</t>
        </is>
      </c>
      <c r="H75" s="5" t="inlineStr">
        <is>
          <t>En caso que la hora fue realizada</t>
        </is>
      </c>
      <c r="I75" s="5" t="inlineStr">
        <is>
          <t>Cuando escribo lo que dijo el médico</t>
        </is>
      </c>
      <c r="J75" s="5" t="inlineStr">
        <is>
          <t>El sistema guarda la nota y la muestra a mi equipo de cuidado.</t>
        </is>
      </c>
      <c r="K75" s="21" t="n"/>
      <c r="L75" s="21" t="n"/>
      <c r="M75" s="21" t="n"/>
      <c r="N75" s="21" t="n"/>
      <c r="O75" s="21" t="n"/>
      <c r="P75" s="21" t="n"/>
    </row>
    <row r="76" ht="6" customHeight="1">
      <c r="B76" s="8" t="n"/>
      <c r="C76" s="8" t="n"/>
      <c r="D76" s="8" t="n"/>
      <c r="E76" s="8" t="n"/>
      <c r="F76" s="8" t="n"/>
      <c r="G76" s="8" t="n"/>
      <c r="H76" s="8" t="n"/>
      <c r="I76" s="8" t="n"/>
      <c r="J76" s="8" t="n"/>
      <c r="K76" s="8" t="n"/>
      <c r="L76" s="8" t="n"/>
      <c r="M76" s="8" t="n"/>
      <c r="N76" s="8" t="n"/>
      <c r="O76" s="8" t="n"/>
      <c r="P76" s="8" t="n"/>
    </row>
    <row r="77" ht="50" customHeight="1">
      <c r="B77" s="5" t="inlineStr">
        <is>
          <t>HU-19</t>
        </is>
      </c>
      <c r="C77" s="5" t="inlineStr">
        <is>
          <t>Como cuidador/a</t>
        </is>
      </c>
      <c r="D77" s="5" t="inlineStr">
        <is>
          <t>Necesito que la app me recuerde el día antes que hay una hora médica</t>
        </is>
      </c>
      <c r="E77" s="5" t="inlineStr">
        <is>
          <t>Con la finalidad de organizar el traslado y quién acompaña.</t>
        </is>
      </c>
      <c r="F77" s="7" t="n">
        <v>1</v>
      </c>
      <c r="G77" s="5" t="inlineStr">
        <is>
          <t>Recordatorio del día anterior</t>
        </is>
      </c>
      <c r="H77" s="5" t="inlineStr">
        <is>
          <t>En caso que mañana hay una hora médica anotada</t>
        </is>
      </c>
      <c r="I77" s="5" t="inlineStr">
        <is>
          <t>Cuando llega el día anterior</t>
        </is>
      </c>
      <c r="J77" s="5" t="inlineStr">
        <is>
          <t>El sistema me envía un aviso con la hora, la especialidad y el lugar.</t>
        </is>
      </c>
      <c r="K77" s="7" t="inlineStr">
        <is>
          <t>E5</t>
        </is>
      </c>
      <c r="L77" s="7" t="inlineStr">
        <is>
          <t>Could</t>
        </is>
      </c>
      <c r="M77" s="7" t="n">
        <v>3</v>
      </c>
      <c r="N77" s="5" t="inlineStr">
        <is>
          <t>Luis Pérez</t>
        </is>
      </c>
      <c r="O77" s="5" t="inlineStr">
        <is>
          <t>En backlog</t>
        </is>
      </c>
      <c r="P77" s="5" t="inlineStr">
        <is>
          <t>Usa el mismo canal de avisos que E8 (correo o en la app; canal por definir).</t>
        </is>
      </c>
    </row>
    <row r="78" ht="6" customHeight="1">
      <c r="B78" s="8" t="n"/>
      <c r="C78" s="8" t="n"/>
      <c r="D78" s="8" t="n"/>
      <c r="E78" s="8" t="n"/>
      <c r="F78" s="8" t="n"/>
      <c r="G78" s="8" t="n"/>
      <c r="H78" s="8" t="n"/>
      <c r="I78" s="8" t="n"/>
      <c r="J78" s="8" t="n"/>
      <c r="K78" s="8" t="n"/>
      <c r="L78" s="8" t="n"/>
      <c r="M78" s="8" t="n"/>
      <c r="N78" s="8" t="n"/>
      <c r="O78" s="8" t="n"/>
      <c r="P78" s="8" t="n"/>
    </row>
    <row r="79" ht="50" customHeight="1">
      <c r="B79" s="5" t="inlineStr">
        <is>
          <t>HU-20</t>
        </is>
      </c>
      <c r="C79" s="5" t="inlineStr">
        <is>
          <t>Como cuidador/a principal</t>
        </is>
      </c>
      <c r="D79" s="5" t="inlineStr">
        <is>
          <t>Necesito que la app me pregunte de vez en cuando, con unas pocas preguntas, cómo me siento con el cuidado</t>
        </is>
      </c>
      <c r="E79" s="5" t="inlineStr">
        <is>
          <t>Con la finalidad de darme cuenta a tiempo si me estoy agotando.</t>
        </is>
      </c>
      <c r="F79" s="7" t="n">
        <v>1</v>
      </c>
      <c r="G79" s="5" t="inlineStr">
        <is>
          <t>Invitación a responder</t>
        </is>
      </c>
      <c r="H79" s="5" t="inlineStr">
        <is>
          <t>En caso que pasó el tiempo definido desde mi última respuesta</t>
        </is>
      </c>
      <c r="I79" s="5" t="inlineStr">
        <is>
          <t>Cuando abro la app</t>
        </is>
      </c>
      <c r="J79" s="5" t="inlineStr">
        <is>
          <t>El sistema me invita a responder, sin obligarme, y me deja dejarlo para después.</t>
        </is>
      </c>
      <c r="K79" s="7" t="inlineStr">
        <is>
          <t>E6</t>
        </is>
      </c>
      <c r="L79" s="7" t="inlineStr">
        <is>
          <t>Must</t>
        </is>
      </c>
      <c r="M79" s="7" t="n">
        <v>3</v>
      </c>
      <c r="N79" s="5" t="inlineStr">
        <is>
          <t>Bastián Ñiripil</t>
        </is>
      </c>
      <c r="O79" s="5" t="inlineStr">
        <is>
          <t>En backlog</t>
        </is>
      </c>
      <c r="P79" s="5" t="inlineStr">
        <is>
          <t>Versión abreviada de la escala de Zarit. Pregunta abierta: versión de Zarit. Se guardan las respuestas por ítem, el puntaje y el nivel. Invitación cada 30 días, configurable.</t>
        </is>
      </c>
    </row>
    <row r="80" ht="50" customHeight="1">
      <c r="B80" s="21" t="n"/>
      <c r="C80" s="21" t="n"/>
      <c r="D80" s="21" t="n"/>
      <c r="E80" s="21" t="n"/>
      <c r="F80" s="7" t="n">
        <v>2</v>
      </c>
      <c r="G80" s="5" t="inlineStr">
        <is>
          <t>Responder las preguntas</t>
        </is>
      </c>
      <c r="H80" s="5" t="inlineStr">
        <is>
          <t>En caso que acepté responder</t>
        </is>
      </c>
      <c r="I80" s="5" t="inlineStr">
        <is>
          <t>Cuando contesto todas las preguntas</t>
        </is>
      </c>
      <c r="J80" s="5" t="inlineStr">
        <is>
          <t>El sistema me muestra el resultado en palabras simples, no solo un número; todo toma menos de 3 minutos.</t>
        </is>
      </c>
      <c r="K80" s="21" t="n"/>
      <c r="L80" s="21" t="n"/>
      <c r="M80" s="21" t="n"/>
      <c r="N80" s="21" t="n"/>
      <c r="O80" s="21" t="n"/>
      <c r="P80" s="21" t="n"/>
    </row>
    <row r="81" ht="6" customHeight="1">
      <c r="B81" s="8" t="n"/>
      <c r="C81" s="8" t="n"/>
      <c r="D81" s="8" t="n"/>
      <c r="E81" s="8" t="n"/>
      <c r="F81" s="8" t="n"/>
      <c r="G81" s="8" t="n"/>
      <c r="H81" s="8" t="n"/>
      <c r="I81" s="8" t="n"/>
      <c r="J81" s="8" t="n"/>
      <c r="K81" s="8" t="n"/>
      <c r="L81" s="8" t="n"/>
      <c r="M81" s="8" t="n"/>
      <c r="N81" s="8" t="n"/>
      <c r="O81" s="8" t="n"/>
      <c r="P81" s="8" t="n"/>
    </row>
    <row r="82" ht="50" customHeight="1">
      <c r="B82" s="5" t="inlineStr">
        <is>
          <t>HU-21</t>
        </is>
      </c>
      <c r="C82" s="5" t="inlineStr">
        <is>
          <t>Como cuidador/a principal</t>
        </is>
      </c>
      <c r="D82" s="5" t="inlineStr">
        <is>
          <t>Necesito ver si mi cansancio ha ido subiendo o bajando en los últimos meses</t>
        </is>
      </c>
      <c r="E82" s="5" t="inlineStr">
        <is>
          <t>Con la finalidad de decidir cuándo pedir ayuda.</t>
        </is>
      </c>
      <c r="F82" s="7" t="n">
        <v>1</v>
      </c>
      <c r="G82" s="5" t="inlineStr">
        <is>
          <t>Ver la evolución</t>
        </is>
      </c>
      <c r="H82" s="5" t="inlineStr">
        <is>
          <t>En caso que respondí las preguntas al menos dos veces</t>
        </is>
      </c>
      <c r="I82" s="5" t="inlineStr">
        <is>
          <t>Cuando abro "Mi cansancio"</t>
        </is>
      </c>
      <c r="J82" s="5" t="inlineStr">
        <is>
          <t>El sistema muestra un gráfico simple con todas mis respuestas, con etiquetas como "más cansancio" y "menos cansancio".</t>
        </is>
      </c>
      <c r="K82" s="7" t="inlineStr">
        <is>
          <t>E6</t>
        </is>
      </c>
      <c r="L82" s="7" t="inlineStr">
        <is>
          <t>Must</t>
        </is>
      </c>
      <c r="M82" s="7" t="n">
        <v>3</v>
      </c>
      <c r="N82" s="5" t="inlineStr">
        <is>
          <t>Luis Pérez</t>
        </is>
      </c>
      <c r="O82" s="5" t="inlineStr">
        <is>
          <t>En backlog</t>
        </is>
      </c>
      <c r="P82" s="5" t="inlineStr">
        <is>
          <t>—</t>
        </is>
      </c>
    </row>
    <row r="83" ht="35" customHeight="1">
      <c r="B83" s="21" t="n"/>
      <c r="C83" s="21" t="n"/>
      <c r="D83" s="21" t="n"/>
      <c r="E83" s="21" t="n"/>
      <c r="F83" s="7" t="n">
        <v>2</v>
      </c>
      <c r="G83" s="5" t="inlineStr">
        <is>
          <t>Cambio importante</t>
        </is>
      </c>
      <c r="H83" s="5" t="inlineStr">
        <is>
          <t>En caso que mi nivel cambió entre dos respuestas</t>
        </is>
      </c>
      <c r="I83" s="5" t="inlineStr">
        <is>
          <t>Cuando reviso el gráfico</t>
        </is>
      </c>
      <c r="J83" s="5" t="inlineStr">
        <is>
          <t>El sistema destaca ese cambio.</t>
        </is>
      </c>
      <c r="K83" s="21" t="n"/>
      <c r="L83" s="21" t="n"/>
      <c r="M83" s="21" t="n"/>
      <c r="N83" s="21" t="n"/>
      <c r="O83" s="21" t="n"/>
      <c r="P83" s="21" t="n"/>
    </row>
    <row r="84" ht="6" customHeight="1">
      <c r="B84" s="8" t="n"/>
      <c r="C84" s="8" t="n"/>
      <c r="D84" s="8" t="n"/>
      <c r="E84" s="8" t="n"/>
      <c r="F84" s="8" t="n"/>
      <c r="G84" s="8" t="n"/>
      <c r="H84" s="8" t="n"/>
      <c r="I84" s="8" t="n"/>
      <c r="J84" s="8" t="n"/>
      <c r="K84" s="8" t="n"/>
      <c r="L84" s="8" t="n"/>
      <c r="M84" s="8" t="n"/>
      <c r="N84" s="8" t="n"/>
      <c r="O84" s="8" t="n"/>
      <c r="P84" s="8" t="n"/>
    </row>
    <row r="85" ht="35" customHeight="1">
      <c r="B85" s="5" t="inlineStr">
        <is>
          <t>HU-22</t>
        </is>
      </c>
      <c r="C85" s="5" t="inlineStr">
        <is>
          <t>Como cuidador/a</t>
        </is>
      </c>
      <c r="D85" s="5" t="inlineStr">
        <is>
          <t>Necesito ver de un vistazo si los remedios se han dado bien esta semana y este mes</t>
        </is>
      </c>
      <c r="E85" s="5" t="inlineStr">
        <is>
          <t>Con la finalidad de quedarme tranquilo/a o darme cuenta de que algo se está escapando.</t>
        </is>
      </c>
      <c r="F85" s="7" t="n">
        <v>1</v>
      </c>
      <c r="G85" s="5" t="inlineStr">
        <is>
          <t>Resumen de la semana</t>
        </is>
      </c>
      <c r="H85" s="5" t="inlineStr">
        <is>
          <t>En caso que hay remedios anotados esta semana</t>
        </is>
      </c>
      <c r="I85" s="5" t="inlineStr">
        <is>
          <t>Cuando abro el resumen</t>
        </is>
      </c>
      <c r="J85" s="5" t="inlineStr">
        <is>
          <t>El sistema muestra frases como "esta semana se dieron 19 de 21 dosis a la hora".</t>
        </is>
      </c>
      <c r="K85" s="7" t="inlineStr">
        <is>
          <t>E7</t>
        </is>
      </c>
      <c r="L85" s="7" t="inlineStr">
        <is>
          <t>Must</t>
        </is>
      </c>
      <c r="M85" s="7" t="n">
        <v>5</v>
      </c>
      <c r="N85" s="5" t="inlineStr">
        <is>
          <t>Luis Pérez</t>
        </is>
      </c>
      <c r="O85" s="5" t="inlineStr">
        <is>
          <t>En backlog</t>
        </is>
      </c>
      <c r="P85" s="5" t="inlineStr">
        <is>
          <t>Adherencia = dosis administradas dentro de la ventana ÷ dosis programadas. Filtro por persona y por medicamento.</t>
        </is>
      </c>
    </row>
    <row r="86" ht="35" customHeight="1">
      <c r="B86" s="21" t="n"/>
      <c r="C86" s="21" t="n"/>
      <c r="D86" s="21" t="n"/>
      <c r="E86" s="21" t="n"/>
      <c r="F86" s="7" t="n">
        <v>2</v>
      </c>
      <c r="G86" s="5" t="inlineStr">
        <is>
          <t>Detalle por remedio</t>
        </is>
      </c>
      <c r="H86" s="5" t="inlineStr">
        <is>
          <t>En caso que estoy viendo el resumen</t>
        </is>
      </c>
      <c r="I86" s="5" t="inlineStr">
        <is>
          <t>Cuando elijo un remedio</t>
        </is>
      </c>
      <c r="J86" s="5" t="inlineStr">
        <is>
          <t>El sistema muestra su detalle de la semana o del mes.</t>
        </is>
      </c>
      <c r="K86" s="21" t="n"/>
      <c r="L86" s="21" t="n"/>
      <c r="M86" s="21" t="n"/>
      <c r="N86" s="21" t="n"/>
      <c r="O86" s="21" t="n"/>
      <c r="P86" s="21" t="n"/>
    </row>
    <row r="87" ht="6" customHeight="1">
      <c r="B87" s="8" t="n"/>
      <c r="C87" s="8" t="n"/>
      <c r="D87" s="8" t="n"/>
      <c r="E87" s="8" t="n"/>
      <c r="F87" s="8" t="n"/>
      <c r="G87" s="8" t="n"/>
      <c r="H87" s="8" t="n"/>
      <c r="I87" s="8" t="n"/>
      <c r="J87" s="8" t="n"/>
      <c r="K87" s="8" t="n"/>
      <c r="L87" s="8" t="n"/>
      <c r="M87" s="8" t="n"/>
      <c r="N87" s="8" t="n"/>
      <c r="O87" s="8" t="n"/>
      <c r="P87" s="8" t="n"/>
    </row>
    <row r="88" ht="50" customHeight="1">
      <c r="B88" s="5" t="inlineStr">
        <is>
          <t>HU-23</t>
        </is>
      </c>
      <c r="C88" s="5" t="inlineStr">
        <is>
          <t>Como cuidador/a</t>
        </is>
      </c>
      <c r="D88" s="5" t="inlineStr">
        <is>
          <t>Necesito revisar qué pasó un día específico (remedios, cuidados, horas médicas)</t>
        </is>
      </c>
      <c r="E88" s="5" t="inlineStr">
        <is>
          <t>Con la finalidad de responder con seguridad cuando el médico me pregunta.</t>
        </is>
      </c>
      <c r="F88" s="7" t="n">
        <v>1</v>
      </c>
      <c r="G88" s="5" t="inlineStr">
        <is>
          <t>Revisar un período</t>
        </is>
      </c>
      <c r="H88" s="5" t="inlineStr">
        <is>
          <t>En caso que quiero revisar un día o un período</t>
        </is>
      </c>
      <c r="I88" s="5" t="inlineStr">
        <is>
          <t>Cuando elijo la fecha o el rango de fechas</t>
        </is>
      </c>
      <c r="J88" s="5" t="inlineStr">
        <is>
          <t>El sistema muestra los remedios, cuidados y horas médicas de ese período.</t>
        </is>
      </c>
      <c r="K88" s="7" t="inlineStr">
        <is>
          <t>E7</t>
        </is>
      </c>
      <c r="L88" s="7" t="inlineStr">
        <is>
          <t>Should</t>
        </is>
      </c>
      <c r="M88" s="7" t="n">
        <v>3</v>
      </c>
      <c r="N88" s="5" t="inlineStr">
        <is>
          <t>Luis Pérez</t>
        </is>
      </c>
      <c r="O88" s="5" t="inlineStr">
        <is>
          <t>En backlog</t>
        </is>
      </c>
      <c r="P88" s="5" t="inlineStr">
        <is>
          <t>—</t>
        </is>
      </c>
    </row>
    <row r="89" ht="6" customHeight="1">
      <c r="B89" s="8" t="n"/>
      <c r="C89" s="8" t="n"/>
      <c r="D89" s="8" t="n"/>
      <c r="E89" s="8" t="n"/>
      <c r="F89" s="8" t="n"/>
      <c r="G89" s="8" t="n"/>
      <c r="H89" s="8" t="n"/>
      <c r="I89" s="8" t="n"/>
      <c r="J89" s="8" t="n"/>
      <c r="K89" s="8" t="n"/>
      <c r="L89" s="8" t="n"/>
      <c r="M89" s="8" t="n"/>
      <c r="N89" s="8" t="n"/>
      <c r="O89" s="8" t="n"/>
      <c r="P89" s="8" t="n"/>
    </row>
    <row r="90" ht="35" customHeight="1">
      <c r="B90" s="5" t="inlineStr">
        <is>
          <t>HU-24</t>
        </is>
      </c>
      <c r="C90" s="5" t="inlineStr">
        <is>
          <t>Como cuidador/a</t>
        </is>
      </c>
      <c r="D90" s="5" t="inlineStr">
        <is>
          <t>Necesito descargar o compartir desde el celular un resumen del último período</t>
        </is>
      </c>
      <c r="E90" s="5" t="inlineStr">
        <is>
          <t>Con la finalidad de llevarlo al control o a una postulación sin anotar todo a mano.</t>
        </is>
      </c>
      <c r="F90" s="7" t="n">
        <v>1</v>
      </c>
      <c r="G90" s="5" t="inlineStr">
        <is>
          <t>Generar el resumen</t>
        </is>
      </c>
      <c r="H90" s="5" t="inlineStr">
        <is>
          <t>En caso que elegí un período</t>
        </is>
      </c>
      <c r="I90" s="5" t="inlineStr">
        <is>
          <t>Cuando pido el resumen en PDF</t>
        </is>
      </c>
      <c r="J90" s="5" t="inlineStr">
        <is>
          <t>El sistema genera el resumen de ese período.</t>
        </is>
      </c>
      <c r="K90" s="7" t="inlineStr">
        <is>
          <t>E7</t>
        </is>
      </c>
      <c r="L90" s="7" t="inlineStr">
        <is>
          <t>Should</t>
        </is>
      </c>
      <c r="M90" s="7" t="n">
        <v>5</v>
      </c>
      <c r="N90" s="5" t="inlineStr">
        <is>
          <t>Luis Pérez</t>
        </is>
      </c>
      <c r="O90" s="5" t="inlineStr">
        <is>
          <t>En backlog</t>
        </is>
      </c>
      <c r="P90" s="5" t="inlineStr">
        <is>
          <t>El PDF incluye adherencia, actividades, horas médicas y evolución del cansancio del período.</t>
        </is>
      </c>
    </row>
    <row r="91" ht="35" customHeight="1">
      <c r="B91" s="21" t="n"/>
      <c r="C91" s="21" t="n"/>
      <c r="D91" s="21" t="n"/>
      <c r="E91" s="21" t="n"/>
      <c r="F91" s="7" t="n">
        <v>2</v>
      </c>
      <c r="G91" s="5" t="inlineStr">
        <is>
          <t>Descargar o compartir</t>
        </is>
      </c>
      <c r="H91" s="5" t="inlineStr">
        <is>
          <t>En caso que el resumen está listo</t>
        </is>
      </c>
      <c r="I91" s="5" t="inlineStr">
        <is>
          <t>Cuando elijo descargarlo o compartirlo</t>
        </is>
      </c>
      <c r="J91" s="5" t="inlineStr">
        <is>
          <t>El sistema abre las opciones de compartir del celular.</t>
        </is>
      </c>
      <c r="K91" s="21" t="n"/>
      <c r="L91" s="21" t="n"/>
      <c r="M91" s="21" t="n"/>
      <c r="N91" s="21" t="n"/>
      <c r="O91" s="21" t="n"/>
      <c r="P91" s="21" t="n"/>
    </row>
    <row r="92" ht="6" customHeight="1">
      <c r="B92" s="8" t="n"/>
      <c r="C92" s="8" t="n"/>
      <c r="D92" s="8" t="n"/>
      <c r="E92" s="8" t="n"/>
      <c r="F92" s="8" t="n"/>
      <c r="G92" s="8" t="n"/>
      <c r="H92" s="8" t="n"/>
      <c r="I92" s="8" t="n"/>
      <c r="J92" s="8" t="n"/>
      <c r="K92" s="8" t="n"/>
      <c r="L92" s="8" t="n"/>
      <c r="M92" s="8" t="n"/>
      <c r="N92" s="8" t="n"/>
      <c r="O92" s="8" t="n"/>
      <c r="P92" s="8" t="n"/>
    </row>
    <row r="93" ht="65" customHeight="1">
      <c r="B93" s="5" t="inlineStr">
        <is>
          <t>HU-40</t>
        </is>
      </c>
      <c r="C93" s="5" t="inlineStr">
        <is>
          <t>Como cuidador/a</t>
        </is>
      </c>
      <c r="D93" s="5" t="inlineStr">
        <is>
          <t>Necesito mostrar en segundos la lista de remedios de mi familiar y los contactos importantes si hay una urgencia</t>
        </is>
      </c>
      <c r="E93" s="5" t="inlineStr">
        <is>
          <t>Con la finalidad de no tener que recordarlos bajo estrés.</t>
        </is>
      </c>
      <c r="F93" s="7" t="n">
        <v>1</v>
      </c>
      <c r="G93" s="5" t="inlineStr">
        <is>
          <t>Ficha de urgencia</t>
        </is>
      </c>
      <c r="H93" s="5" t="inlineStr">
        <is>
          <t>En caso que hay una urgencia</t>
        </is>
      </c>
      <c r="I93" s="5" t="inlineStr">
        <is>
          <t>Cuando toco el botón de urgencia en la pantalla de inicio</t>
        </is>
      </c>
      <c r="J93" s="5" t="inlineStr">
        <is>
          <t>El sistema muestra en una sola pantalla los remedios vigentes y los contactos importantes, lista para mostrar.</t>
        </is>
      </c>
      <c r="K93" s="7" t="inlineStr">
        <is>
          <t>E7</t>
        </is>
      </c>
      <c r="L93" s="7" t="inlineStr">
        <is>
          <t>Should</t>
        </is>
      </c>
      <c r="M93" s="7" t="n">
        <v>3</v>
      </c>
      <c r="N93" s="5" t="inlineStr">
        <is>
          <t>Luis Pérez</t>
        </is>
      </c>
      <c r="O93" s="5" t="inlineStr">
        <is>
          <t>Propuesta nueva</t>
        </is>
      </c>
      <c r="P93" s="5" t="inlineStr">
        <is>
          <t>Se arma desde los tratamientos vigentes. Requiere guardar los contactos importantes de la persona mayor.</t>
        </is>
      </c>
    </row>
    <row r="94" ht="6" customHeight="1">
      <c r="B94" s="8" t="n"/>
      <c r="C94" s="8" t="n"/>
      <c r="D94" s="8" t="n"/>
      <c r="E94" s="8" t="n"/>
      <c r="F94" s="8" t="n"/>
      <c r="G94" s="8" t="n"/>
      <c r="H94" s="8" t="n"/>
      <c r="I94" s="8" t="n"/>
      <c r="J94" s="8" t="n"/>
      <c r="K94" s="8" t="n"/>
      <c r="L94" s="8" t="n"/>
      <c r="M94" s="8" t="n"/>
      <c r="N94" s="8" t="n"/>
      <c r="O94" s="8" t="n"/>
      <c r="P94" s="8" t="n"/>
    </row>
    <row r="95" ht="50" customHeight="1">
      <c r="B95" s="5" t="inlineStr">
        <is>
          <t>HU-25</t>
        </is>
      </c>
      <c r="C95" s="5" t="inlineStr">
        <is>
          <t>Como cuidador/a</t>
        </is>
      </c>
      <c r="D95" s="5" t="inlineStr">
        <is>
          <t>Necesito que la app me avise si un remedio quedó sin dar</t>
        </is>
      </c>
      <c r="E95" s="5" t="inlineStr">
        <is>
          <t>Con la finalidad de alcanzar a reaccionar.</t>
        </is>
      </c>
      <c r="F95" s="7" t="n">
        <v>1</v>
      </c>
      <c r="G95" s="5" t="inlineStr">
        <is>
          <t>Remedio sin anotar</t>
        </is>
      </c>
      <c r="H95" s="5" t="inlineStr">
        <is>
          <t>En caso que pasó la hora límite de un remedio sin que se haya anotado</t>
        </is>
      </c>
      <c r="I95" s="5" t="inlineStr">
        <is>
          <t>Cuando se cumple ese plazo</t>
        </is>
      </c>
      <c r="J95" s="5" t="inlineStr">
        <is>
          <t>El sistema me envía un aviso que dice qué remedio y de qué hora.</t>
        </is>
      </c>
      <c r="K95" s="7" t="inlineStr">
        <is>
          <t>E8</t>
        </is>
      </c>
      <c r="L95" s="7" t="inlineStr">
        <is>
          <t>Must</t>
        </is>
      </c>
      <c r="M95" s="7" t="n">
        <v>5</v>
      </c>
      <c r="N95" s="5" t="inlineStr">
        <is>
          <t>Luis Pérez</t>
        </is>
      </c>
      <c r="O95" s="5" t="inlineStr">
        <is>
          <t>En backlog</t>
        </is>
      </c>
      <c r="P95" s="5" t="inlineStr">
        <is>
          <t>Una alerta por dosis vencida, sin duplicados. Validado con un set de 100 casos simulados (OE3). Pregunta abierta: con cuidado compartido, a quién le llega la alerta.</t>
        </is>
      </c>
    </row>
    <row r="96" ht="35" customHeight="1">
      <c r="B96" s="20" t="n"/>
      <c r="C96" s="20" t="n"/>
      <c r="D96" s="20" t="n"/>
      <c r="E96" s="20" t="n"/>
      <c r="F96" s="7" t="n">
        <v>2</v>
      </c>
      <c r="G96" s="5" t="inlineStr">
        <is>
          <t>Aviso sin repetir</t>
        </is>
      </c>
      <c r="H96" s="5" t="inlineStr">
        <is>
          <t>En caso que ya recibí el aviso de ese remedio</t>
        </is>
      </c>
      <c r="I96" s="5" t="inlineStr">
        <is>
          <t>Cuando sigue sin anotarse</t>
        </is>
      </c>
      <c r="J96" s="5" t="inlineStr">
        <is>
          <t>El sistema no repite el mismo aviso.</t>
        </is>
      </c>
      <c r="K96" s="20" t="n"/>
      <c r="L96" s="20" t="n"/>
      <c r="M96" s="20" t="n"/>
      <c r="N96" s="20" t="n"/>
      <c r="O96" s="20" t="n"/>
      <c r="P96" s="20" t="n"/>
    </row>
    <row r="97" ht="35" customHeight="1">
      <c r="B97" s="21" t="n"/>
      <c r="C97" s="21" t="n"/>
      <c r="D97" s="21" t="n"/>
      <c r="E97" s="21" t="n"/>
      <c r="F97" s="7" t="n">
        <v>3</v>
      </c>
      <c r="G97" s="5" t="inlineStr">
        <is>
          <t>Remedio anotado a tiempo</t>
        </is>
      </c>
      <c r="H97" s="5" t="inlineStr">
        <is>
          <t>En caso que el remedio se anotó antes de la hora límite</t>
        </is>
      </c>
      <c r="I97" s="5" t="inlineStr">
        <is>
          <t>Cuando se cumple la hora límite</t>
        </is>
      </c>
      <c r="J97" s="5" t="inlineStr">
        <is>
          <t>El sistema no envía aviso.</t>
        </is>
      </c>
      <c r="K97" s="21" t="n"/>
      <c r="L97" s="21" t="n"/>
      <c r="M97" s="21" t="n"/>
      <c r="N97" s="21" t="n"/>
      <c r="O97" s="21" t="n"/>
      <c r="P97" s="21" t="n"/>
    </row>
    <row r="98" ht="6" customHeight="1">
      <c r="B98" s="8" t="n"/>
      <c r="C98" s="8" t="n"/>
      <c r="D98" s="8" t="n"/>
      <c r="E98" s="8" t="n"/>
      <c r="F98" s="8" t="n"/>
      <c r="G98" s="8" t="n"/>
      <c r="H98" s="8" t="n"/>
      <c r="I98" s="8" t="n"/>
      <c r="J98" s="8" t="n"/>
      <c r="K98" s="8" t="n"/>
      <c r="L98" s="8" t="n"/>
      <c r="M98" s="8" t="n"/>
      <c r="N98" s="8" t="n"/>
      <c r="O98" s="8" t="n"/>
      <c r="P98" s="8" t="n"/>
    </row>
    <row r="99" ht="40" customHeight="1">
      <c r="B99" s="5" t="inlineStr">
        <is>
          <t>HU-26</t>
        </is>
      </c>
      <c r="C99" s="5" t="inlineStr">
        <is>
          <t>Como cuidador/a principal</t>
        </is>
      </c>
      <c r="D99" s="5" t="inlineStr">
        <is>
          <t>Necesito que, si pasan días sin que anote nada, la app me pregunte con cuidado si estoy bien o si quiero avisarle a mi familia</t>
        </is>
      </c>
      <c r="E99" s="5" t="inlineStr">
        <is>
          <t>Con la finalidad de no quedar solo/a cuando no doy más.</t>
        </is>
      </c>
      <c r="F99" s="7" t="n">
        <v>1</v>
      </c>
      <c r="G99" s="5" t="inlineStr">
        <is>
          <t>Días sin registros</t>
        </is>
      </c>
      <c r="H99" s="5" t="inlineStr">
        <is>
          <t>En caso que pasaron varios días sin registros</t>
        </is>
      </c>
      <c r="I99" s="5" t="inlineStr">
        <is>
          <t>Cuando se cumple el plazo definido</t>
        </is>
      </c>
      <c r="J99" s="5" t="inlineStr">
        <is>
          <t>El sistema me envía un mensaje que pregunta cómo estoy, sin reproches.</t>
        </is>
      </c>
      <c r="K99" s="7" t="inlineStr">
        <is>
          <t>E8</t>
        </is>
      </c>
      <c r="L99" s="7" t="inlineStr">
        <is>
          <t>Must</t>
        </is>
      </c>
      <c r="M99" s="7" t="n">
        <v>3</v>
      </c>
      <c r="N99" s="5" t="inlineStr">
        <is>
          <t>Luis Pérez</t>
        </is>
      </c>
      <c r="O99" s="5" t="inlineStr">
        <is>
          <t>En backlog</t>
        </is>
      </c>
      <c r="P99" s="5" t="inlineStr">
        <is>
          <t>Umbral configurable, con propuesta de 48 horas sin registros.</t>
        </is>
      </c>
    </row>
    <row r="100" ht="40" customHeight="1">
      <c r="B100" s="21" t="n"/>
      <c r="C100" s="21" t="n"/>
      <c r="D100" s="21" t="n"/>
      <c r="E100" s="21" t="n"/>
      <c r="F100" s="7" t="n">
        <v>2</v>
      </c>
      <c r="G100" s="5" t="inlineStr">
        <is>
          <t>Avisar a la familia</t>
        </is>
      </c>
      <c r="H100" s="5" t="inlineStr">
        <is>
          <t>En caso que recibí ese mensaje</t>
        </is>
      </c>
      <c r="I100" s="5" t="inlineStr">
        <is>
          <t>Cuando elijo avisarle a mi equipo de cuidado</t>
        </is>
      </c>
      <c r="J100" s="5" t="inlineStr">
        <is>
          <t>El sistema les envía un aviso a los familiares que ayudan.</t>
        </is>
      </c>
      <c r="K100" s="21" t="n"/>
      <c r="L100" s="21" t="n"/>
      <c r="M100" s="21" t="n"/>
      <c r="N100" s="21" t="n"/>
      <c r="O100" s="21" t="n"/>
      <c r="P100" s="21" t="n"/>
    </row>
    <row r="101" ht="6" customHeight="1">
      <c r="B101" s="8" t="n"/>
      <c r="C101" s="8" t="n"/>
      <c r="D101" s="8" t="n"/>
      <c r="E101" s="8" t="n"/>
      <c r="F101" s="8" t="n"/>
      <c r="G101" s="8" t="n"/>
      <c r="H101" s="8" t="n"/>
      <c r="I101" s="8" t="n"/>
      <c r="J101" s="8" t="n"/>
      <c r="K101" s="8" t="n"/>
      <c r="L101" s="8" t="n"/>
      <c r="M101" s="8" t="n"/>
      <c r="N101" s="8" t="n"/>
      <c r="O101" s="8" t="n"/>
      <c r="P101" s="8" t="n"/>
    </row>
    <row r="102" ht="35" customHeight="1">
      <c r="B102" s="5" t="inlineStr">
        <is>
          <t>HU-28</t>
        </is>
      </c>
      <c r="C102" s="5" t="inlineStr">
        <is>
          <t>Como cuidador/a</t>
        </is>
      </c>
      <c r="D102" s="5" t="inlineStr">
        <is>
          <t>Necesito ver en un solo lugar los avisos pendientes y marcarlos como resueltos</t>
        </is>
      </c>
      <c r="E102" s="5" t="inlineStr">
        <is>
          <t>Con la finalidad de no quedarme con la sensación de que algo se me pasó.</t>
        </is>
      </c>
      <c r="F102" s="7" t="n">
        <v>1</v>
      </c>
      <c r="G102" s="5" t="inlineStr">
        <is>
          <t>Ver los avisos</t>
        </is>
      </c>
      <c r="H102" s="5" t="inlineStr">
        <is>
          <t>En caso que tengo avisos</t>
        </is>
      </c>
      <c r="I102" s="5" t="inlineStr">
        <is>
          <t>Cuando abro "Avisos"</t>
        </is>
      </c>
      <c r="J102" s="5" t="inlineStr">
        <is>
          <t>El sistema los muestra todos en un solo lugar, primero los pendientes.</t>
        </is>
      </c>
      <c r="K102" s="7" t="inlineStr">
        <is>
          <t>E8</t>
        </is>
      </c>
      <c r="L102" s="7" t="inlineStr">
        <is>
          <t>Must</t>
        </is>
      </c>
      <c r="M102" s="7" t="n">
        <v>2</v>
      </c>
      <c r="N102" s="5" t="inlineStr">
        <is>
          <t>Luis Pérez</t>
        </is>
      </c>
      <c r="O102" s="5" t="inlineStr">
        <is>
          <t>En backlog</t>
        </is>
      </c>
      <c r="P102" s="5" t="inlineStr">
        <is>
          <t>Estados nueva, vista y atendida.</t>
        </is>
      </c>
    </row>
    <row r="103" ht="20" customHeight="1">
      <c r="B103" s="21" t="n"/>
      <c r="C103" s="21" t="n"/>
      <c r="D103" s="21" t="n"/>
      <c r="E103" s="21" t="n"/>
      <c r="F103" s="7" t="n">
        <v>2</v>
      </c>
      <c r="G103" s="5" t="inlineStr">
        <is>
          <t>Marcar como resuelto</t>
        </is>
      </c>
      <c r="H103" s="5" t="inlineStr">
        <is>
          <t>En caso que ya atendí un aviso</t>
        </is>
      </c>
      <c r="I103" s="5" t="inlineStr">
        <is>
          <t>Cuando lo marco como resuelto</t>
        </is>
      </c>
      <c r="J103" s="5" t="inlineStr">
        <is>
          <t>El sistema lo saca de los pendientes.</t>
        </is>
      </c>
      <c r="K103" s="21" t="n"/>
      <c r="L103" s="21" t="n"/>
      <c r="M103" s="21" t="n"/>
      <c r="N103" s="21" t="n"/>
      <c r="O103" s="21" t="n"/>
      <c r="P103" s="21" t="n"/>
    </row>
    <row r="104" ht="6" customHeight="1">
      <c r="B104" s="8" t="n"/>
      <c r="C104" s="8" t="n"/>
      <c r="D104" s="8" t="n"/>
      <c r="E104" s="8" t="n"/>
      <c r="F104" s="8" t="n"/>
      <c r="G104" s="8" t="n"/>
      <c r="H104" s="8" t="n"/>
      <c r="I104" s="8" t="n"/>
      <c r="J104" s="8" t="n"/>
      <c r="K104" s="8" t="n"/>
      <c r="L104" s="8" t="n"/>
      <c r="M104" s="8" t="n"/>
      <c r="N104" s="8" t="n"/>
      <c r="O104" s="8" t="n"/>
      <c r="P104" s="8" t="n"/>
    </row>
    <row r="105" ht="65" customHeight="1">
      <c r="B105" s="5" t="inlineStr">
        <is>
          <t>HU-27</t>
        </is>
      </c>
      <c r="C105" s="5" t="inlineStr">
        <is>
          <t>Como cuidador/a principal</t>
        </is>
      </c>
      <c r="D105" s="5" t="inlineStr">
        <is>
          <t>Necesito que la app me avise si mis respuestas muestran que estoy muy cansado/a y me diga dónde pedir apoyo</t>
        </is>
      </c>
      <c r="E105" s="5" t="inlineStr">
        <is>
          <t>Con la finalidad de no llegar al límite sin darme cuenta.</t>
        </is>
      </c>
      <c r="F105" s="7" t="n">
        <v>1</v>
      </c>
      <c r="G105" s="5" t="inlineStr">
        <is>
          <t>Cansancio alto</t>
        </is>
      </c>
      <c r="H105" s="5" t="inlineStr">
        <is>
          <t>En caso que mi cansancio llega a un nivel alto o sube de golpe</t>
        </is>
      </c>
      <c r="I105" s="5" t="inlineStr">
        <is>
          <t>Cuando termino de responder las preguntas</t>
        </is>
      </c>
      <c r="J105" s="5" t="inlineStr">
        <is>
          <t>El sistema me muestra un mensaje cálido, sin diagnóstico, con al menos un lugar concreto donde pedir apoyo.</t>
        </is>
      </c>
      <c r="K105" s="7" t="inlineStr">
        <is>
          <t>E8</t>
        </is>
      </c>
      <c r="L105" s="7" t="inlineStr">
        <is>
          <t>Should</t>
        </is>
      </c>
      <c r="M105" s="7" t="n">
        <v>3</v>
      </c>
      <c r="N105" s="5" t="inlineStr">
        <is>
          <t>Luis Pérez</t>
        </is>
      </c>
      <c r="O105" s="5" t="inlineStr">
        <is>
          <t>En backlog</t>
        </is>
      </c>
      <c r="P105" s="5" t="inlineStr">
        <is>
          <t>Regla de nivel alto o alza brusca, con umbral por definir.</t>
        </is>
      </c>
    </row>
    <row r="106" ht="6" customHeight="1">
      <c r="B106" s="8" t="n"/>
      <c r="C106" s="8" t="n"/>
      <c r="D106" s="8" t="n"/>
      <c r="E106" s="8" t="n"/>
      <c r="F106" s="8" t="n"/>
      <c r="G106" s="8" t="n"/>
      <c r="H106" s="8" t="n"/>
      <c r="I106" s="8" t="n"/>
      <c r="J106" s="8" t="n"/>
      <c r="K106" s="8" t="n"/>
      <c r="L106" s="8" t="n"/>
      <c r="M106" s="8" t="n"/>
      <c r="N106" s="8" t="n"/>
      <c r="O106" s="8" t="n"/>
      <c r="P106" s="8" t="n"/>
    </row>
    <row r="107" ht="50" customHeight="1">
      <c r="B107" s="5" t="inlineStr">
        <is>
          <t>HU-39</t>
        </is>
      </c>
      <c r="C107" s="5" t="inlineStr">
        <is>
          <t>Como cuidador/a principal</t>
        </is>
      </c>
      <c r="D107" s="5" t="inlineStr">
        <is>
          <t>Necesito que por unos días los avisos le lleguen a otro familiar</t>
        </is>
      </c>
      <c r="E107" s="5" t="inlineStr">
        <is>
          <t>Con la finalidad de poder descansar sin que se pierda ningún remedio.</t>
        </is>
      </c>
      <c r="F107" s="7" t="n">
        <v>1</v>
      </c>
      <c r="G107" s="5" t="inlineStr">
        <is>
          <t>Pasar los avisos</t>
        </is>
      </c>
      <c r="H107" s="5" t="inlineStr">
        <is>
          <t>En caso que necesito descansar unos días</t>
        </is>
      </c>
      <c r="I107" s="5" t="inlineStr">
        <is>
          <t>Cuando elijo a qué familiar le llegan los avisos y hasta qué día</t>
        </is>
      </c>
      <c r="J107" s="5" t="inlineStr">
        <is>
          <t>El sistema le envía los avisos a esa persona durante ese período.</t>
        </is>
      </c>
      <c r="K107" s="7" t="inlineStr">
        <is>
          <t>E8</t>
        </is>
      </c>
      <c r="L107" s="7" t="inlineStr">
        <is>
          <t>Should</t>
        </is>
      </c>
      <c r="M107" s="7" t="n">
        <v>3</v>
      </c>
      <c r="N107" s="5" t="inlineStr">
        <is>
          <t>Luis Pérez</t>
        </is>
      </c>
      <c r="O107" s="5" t="inlineStr">
        <is>
          <t>Propuesta nueva</t>
        </is>
      </c>
      <c r="P107" s="5" t="inlineStr">
        <is>
          <t>Delegación con persona destinataria, fecha de inicio y fecha de término.</t>
        </is>
      </c>
    </row>
    <row r="108" ht="35" customHeight="1">
      <c r="B108" s="21" t="n"/>
      <c r="C108" s="21" t="n"/>
      <c r="D108" s="21" t="n"/>
      <c r="E108" s="21" t="n"/>
      <c r="F108" s="7" t="n">
        <v>2</v>
      </c>
      <c r="G108" s="5" t="inlineStr">
        <is>
          <t>Fin del período</t>
        </is>
      </c>
      <c r="H108" s="5" t="inlineStr">
        <is>
          <t>En caso que terminó el plazo que definí</t>
        </is>
      </c>
      <c r="I108" s="5" t="inlineStr">
        <is>
          <t>Cuando llega la fecha de término</t>
        </is>
      </c>
      <c r="J108" s="5" t="inlineStr">
        <is>
          <t>El sistema vuelve a enviarme los avisos a mí.</t>
        </is>
      </c>
      <c r="K108" s="21" t="n"/>
      <c r="L108" s="21" t="n"/>
      <c r="M108" s="21" t="n"/>
      <c r="N108" s="21" t="n"/>
      <c r="O108" s="21" t="n"/>
      <c r="P108" s="21" t="n"/>
    </row>
    <row r="109" ht="6" customHeight="1">
      <c r="B109" s="8" t="n"/>
      <c r="C109" s="8" t="n"/>
      <c r="D109" s="8" t="n"/>
      <c r="E109" s="8" t="n"/>
      <c r="F109" s="8" t="n"/>
      <c r="G109" s="8" t="n"/>
      <c r="H109" s="8" t="n"/>
      <c r="I109" s="8" t="n"/>
      <c r="J109" s="8" t="n"/>
      <c r="K109" s="8" t="n"/>
      <c r="L109" s="8" t="n"/>
      <c r="M109" s="8" t="n"/>
      <c r="N109" s="8" t="n"/>
      <c r="O109" s="8" t="n"/>
      <c r="P109" s="8" t="n"/>
    </row>
    <row r="110" ht="65" customHeight="1">
      <c r="B110" s="5" t="inlineStr">
        <is>
          <t>HU-29</t>
        </is>
      </c>
      <c r="C110" s="5" t="inlineStr">
        <is>
          <t>Como cuidador/a</t>
        </is>
      </c>
      <c r="D110" s="5" t="inlineStr">
        <is>
          <t>Necesito recibir cada semana un resumen corto en palabras simples de cómo fue el cuidado</t>
        </is>
      </c>
      <c r="E110" s="5" t="inlineStr">
        <is>
          <t>Con la finalidad de enterarme de lo importante en un minuto.</t>
        </is>
      </c>
      <c r="F110" s="7" t="n">
        <v>1</v>
      </c>
      <c r="G110" s="5" t="inlineStr">
        <is>
          <t>Resumen semanal</t>
        </is>
      </c>
      <c r="H110" s="5" t="inlineStr">
        <is>
          <t>En caso que hay registros de la semana</t>
        </is>
      </c>
      <c r="I110" s="5" t="inlineStr">
        <is>
          <t>Cuando termina la semana</t>
        </is>
      </c>
      <c r="J110" s="5" t="inlineStr">
        <is>
          <t>El sistema me envía un resumen que cabe en una pantalla del celular, con remedios no dados, próximas horas médicas y avisos pendientes.</t>
        </is>
      </c>
      <c r="K110" s="7" t="inlineStr">
        <is>
          <t>E9</t>
        </is>
      </c>
      <c r="L110" s="7" t="inlineStr">
        <is>
          <t>Must</t>
        </is>
      </c>
      <c r="M110" s="7" t="n">
        <v>8</v>
      </c>
      <c r="N110" s="5" t="inlineStr">
        <is>
          <t>Luis Pérez</t>
        </is>
      </c>
      <c r="O110" s="5" t="inlineStr">
        <is>
          <t>En backlog</t>
        </is>
      </c>
      <c r="P110" s="5" t="inlineStr">
        <is>
          <t>Cada cifra del resumen coincide con la base de datos. Meta de 90 % o más de exactitud factual en 25 consultas de prueba (OE2).</t>
        </is>
      </c>
    </row>
    <row r="111" ht="35" customHeight="1">
      <c r="B111" s="21" t="n"/>
      <c r="C111" s="21" t="n"/>
      <c r="D111" s="21" t="n"/>
      <c r="E111" s="21" t="n"/>
      <c r="F111" s="7" t="n">
        <v>2</v>
      </c>
      <c r="G111" s="5" t="inlineStr">
        <is>
          <t>Sin indicaciones médicas</t>
        </is>
      </c>
      <c r="H111" s="5" t="inlineStr">
        <is>
          <t>En caso que la semana tuvo remedios no dados</t>
        </is>
      </c>
      <c r="I111" s="5" t="inlineStr">
        <is>
          <t>Cuando leo el resumen</t>
        </is>
      </c>
      <c r="J111" s="5" t="inlineStr">
        <is>
          <t>El sistema describe lo ocurrido sin dar indicaciones médicas.</t>
        </is>
      </c>
      <c r="K111" s="21" t="n"/>
      <c r="L111" s="21" t="n"/>
      <c r="M111" s="21" t="n"/>
      <c r="N111" s="21" t="n"/>
      <c r="O111" s="21" t="n"/>
      <c r="P111" s="21" t="n"/>
    </row>
    <row r="112" ht="6" customHeight="1">
      <c r="B112" s="8" t="n"/>
      <c r="C112" s="8" t="n"/>
      <c r="D112" s="8" t="n"/>
      <c r="E112" s="8" t="n"/>
      <c r="F112" s="8" t="n"/>
      <c r="G112" s="8" t="n"/>
      <c r="H112" s="8" t="n"/>
      <c r="I112" s="8" t="n"/>
      <c r="J112" s="8" t="n"/>
      <c r="K112" s="8" t="n"/>
      <c r="L112" s="8" t="n"/>
      <c r="M112" s="8" t="n"/>
      <c r="N112" s="8" t="n"/>
      <c r="O112" s="8" t="n"/>
      <c r="P112" s="8" t="n"/>
    </row>
    <row r="113" ht="65" customHeight="1">
      <c r="B113" s="5" t="inlineStr">
        <is>
          <t>HU-31</t>
        </is>
      </c>
      <c r="C113" s="5" t="inlineStr">
        <is>
          <t>Como cuidador/a</t>
        </is>
      </c>
      <c r="D113" s="5" t="inlineStr">
        <is>
          <t>Necesito que, si le pregunto algo médico al asistente, me diga claramente que no puede responder y a quién acudir</t>
        </is>
      </c>
      <c r="E113" s="5" t="inlineStr">
        <is>
          <t>Con la finalidad de no tomar una decisión riesgosa por culpa de la app.</t>
        </is>
      </c>
      <c r="F113" s="7" t="n">
        <v>1</v>
      </c>
      <c r="G113" s="5" t="inlineStr">
        <is>
          <t>Pregunta médica</t>
        </is>
      </c>
      <c r="H113" s="5" t="inlineStr">
        <is>
          <t>En caso que estoy usando el asistente</t>
        </is>
      </c>
      <c r="I113" s="5" t="inlineStr">
        <is>
          <t>Cuando pregunto por dosis, diagnósticos o tratamientos</t>
        </is>
      </c>
      <c r="J113" s="5" t="inlineStr">
        <is>
          <t>El sistema responde que no puede contestar eso y me sugiere a quién acudir.</t>
        </is>
      </c>
      <c r="K113" s="7" t="inlineStr">
        <is>
          <t>E9</t>
        </is>
      </c>
      <c r="L113" s="7" t="inlineStr">
        <is>
          <t>Must</t>
        </is>
      </c>
      <c r="M113" s="7" t="n">
        <v>3</v>
      </c>
      <c r="N113" s="5" t="inlineStr">
        <is>
          <t>Luis Pérez</t>
        </is>
      </c>
      <c r="O113" s="5" t="inlineStr">
        <is>
          <t>En backlog</t>
        </is>
      </c>
      <c r="P113" s="5" t="inlineStr">
        <is>
          <t>Probado con un set de preguntas trampa sobre dosis, diagnósticos y tratamientos.</t>
        </is>
      </c>
    </row>
    <row r="114" ht="6" customHeight="1">
      <c r="B114" s="8" t="n"/>
      <c r="C114" s="8" t="n"/>
      <c r="D114" s="8" t="n"/>
      <c r="E114" s="8" t="n"/>
      <c r="F114" s="8" t="n"/>
      <c r="G114" s="8" t="n"/>
      <c r="H114" s="8" t="n"/>
      <c r="I114" s="8" t="n"/>
      <c r="J114" s="8" t="n"/>
      <c r="K114" s="8" t="n"/>
      <c r="L114" s="8" t="n"/>
      <c r="M114" s="8" t="n"/>
      <c r="N114" s="8" t="n"/>
      <c r="O114" s="8" t="n"/>
      <c r="P114" s="8" t="n"/>
    </row>
    <row r="115" ht="65" customHeight="1">
      <c r="B115" s="5" t="inlineStr">
        <is>
          <t>HU-30</t>
        </is>
      </c>
      <c r="C115" s="5" t="inlineStr">
        <is>
          <t>Como cuidador/a</t>
        </is>
      </c>
      <c r="D115" s="5" t="inlineStr">
        <is>
          <t>Necesito preguntarle a la app cosas como "¿cuándo se le dio por última vez el remedio de la presión?"</t>
        </is>
      </c>
      <c r="E115" s="5" t="inlineStr">
        <is>
          <t>Con la finalidad de resolver dudas sin buscar en el historial.</t>
        </is>
      </c>
      <c r="F115" s="7" t="n">
        <v>1</v>
      </c>
      <c r="G115" s="5" t="inlineStr">
        <is>
          <t>Pregunta sobre lo anotado</t>
        </is>
      </c>
      <c r="H115" s="5" t="inlineStr">
        <is>
          <t>En caso que hay registros de mi familiar</t>
        </is>
      </c>
      <c r="I115" s="5" t="inlineStr">
        <is>
          <t>Cuando escribo una pregunta sobre lo anotado</t>
        </is>
      </c>
      <c r="J115" s="5" t="inlineStr">
        <is>
          <t>El sistema responde en forma breve e indica las fechas y los datos en que se basa.</t>
        </is>
      </c>
      <c r="K115" s="7" t="inlineStr">
        <is>
          <t>E9</t>
        </is>
      </c>
      <c r="L115" s="7" t="inlineStr">
        <is>
          <t>Should</t>
        </is>
      </c>
      <c r="M115" s="7" t="n">
        <v>8</v>
      </c>
      <c r="N115" s="5" t="inlineStr">
        <is>
          <t>Luis Pérez</t>
        </is>
      </c>
      <c r="O115" s="5" t="inlineStr">
        <is>
          <t>En backlog</t>
        </is>
      </c>
      <c r="P115" s="5" t="inlineStr">
        <is>
          <t>Acceso solo a datos de las personas asignadas al cuidador. Se guarda cada pregunta y respuesta para evaluación (debe declararse en el texto de HU-03).</t>
        </is>
      </c>
    </row>
    <row r="116" ht="6" customHeight="1">
      <c r="B116" s="8" t="n"/>
      <c r="C116" s="8" t="n"/>
      <c r="D116" s="8" t="n"/>
      <c r="E116" s="8" t="n"/>
      <c r="F116" s="8" t="n"/>
      <c r="G116" s="8" t="n"/>
      <c r="H116" s="8" t="n"/>
      <c r="I116" s="8" t="n"/>
      <c r="J116" s="8" t="n"/>
      <c r="K116" s="8" t="n"/>
      <c r="L116" s="8" t="n"/>
      <c r="M116" s="8" t="n"/>
      <c r="N116" s="8" t="n"/>
      <c r="O116" s="8" t="n"/>
      <c r="P116" s="8" t="n"/>
    </row>
    <row r="117" ht="35" customHeight="1">
      <c r="B117" s="5" t="inlineStr">
        <is>
          <t>HU-32</t>
        </is>
      </c>
      <c r="C117" s="5" t="inlineStr">
        <is>
          <t>Como cuidador/a principal</t>
        </is>
      </c>
      <c r="D117" s="5" t="inlineStr">
        <is>
          <t>Necesito saber que la información de salud de mi familiar está protegida aunque pierda el celular</t>
        </is>
      </c>
      <c r="E117" s="5" t="inlineStr">
        <is>
          <t>Con la finalidad de confiarle a la app datos tan personales.</t>
        </is>
      </c>
      <c r="F117" s="7" t="n">
        <v>1</v>
      </c>
      <c r="G117" s="5" t="inlineStr">
        <is>
          <t>Saber cómo se protege</t>
        </is>
      </c>
      <c r="H117" s="5" t="inlineStr">
        <is>
          <t>En caso que quiero saber cómo se cuida la información</t>
        </is>
      </c>
      <c r="I117" s="5" t="inlineStr">
        <is>
          <t>Cuando entro a "Privacidad"</t>
        </is>
      </c>
      <c r="J117" s="5" t="inlineStr">
        <is>
          <t>El sistema muestra una explicación breve de cómo se protegen los datos.</t>
        </is>
      </c>
      <c r="K117" s="7" t="inlineStr">
        <is>
          <t>E10</t>
        </is>
      </c>
      <c r="L117" s="7" t="inlineStr">
        <is>
          <t>Must</t>
        </is>
      </c>
      <c r="M117" s="7" t="n">
        <v>5</v>
      </c>
      <c r="N117" s="5" t="inlineStr">
        <is>
          <t>Bastián Ñiripil</t>
        </is>
      </c>
      <c r="O117" s="5" t="inlineStr">
        <is>
          <t>En backlog</t>
        </is>
      </c>
      <c r="P117" s="5" t="inlineStr">
        <is>
          <t>HTTPS obligatorio. Datos sensibles cifrados en reposo. El escaneo de seguridad no reporta vulnerabilidades críticas (OE4). El cierre de sesión remoto invalida todos los tokens.</t>
        </is>
      </c>
    </row>
    <row r="118" ht="50" customHeight="1">
      <c r="B118" s="21" t="n"/>
      <c r="C118" s="21" t="n"/>
      <c r="D118" s="21" t="n"/>
      <c r="E118" s="21" t="n"/>
      <c r="F118" s="7" t="n">
        <v>2</v>
      </c>
      <c r="G118" s="5" t="inlineStr">
        <is>
          <t>Celular perdido</t>
        </is>
      </c>
      <c r="H118" s="5" t="inlineStr">
        <is>
          <t>En caso que perdí mi celular</t>
        </is>
      </c>
      <c r="I118" s="5" t="inlineStr">
        <is>
          <t>Cuando entro desde otro equipo y elijo cerrar la sesión en todos mis dispositivos</t>
        </is>
      </c>
      <c r="J118" s="5" t="inlineStr">
        <is>
          <t>El sistema cierra la sesión en todos ellos.</t>
        </is>
      </c>
      <c r="K118" s="21" t="n"/>
      <c r="L118" s="21" t="n"/>
      <c r="M118" s="21" t="n"/>
      <c r="N118" s="21" t="n"/>
      <c r="O118" s="21" t="n"/>
      <c r="P118" s="21" t="n"/>
    </row>
    <row r="119" ht="6" customHeight="1">
      <c r="B119" s="8" t="n"/>
      <c r="C119" s="8" t="n"/>
      <c r="D119" s="8" t="n"/>
      <c r="E119" s="8" t="n"/>
      <c r="F119" s="8" t="n"/>
      <c r="G119" s="8" t="n"/>
      <c r="H119" s="8" t="n"/>
      <c r="I119" s="8" t="n"/>
      <c r="J119" s="8" t="n"/>
      <c r="K119" s="8" t="n"/>
      <c r="L119" s="8" t="n"/>
      <c r="M119" s="8" t="n"/>
      <c r="N119" s="8" t="n"/>
      <c r="O119" s="8" t="n"/>
      <c r="P119" s="8" t="n"/>
    </row>
    <row r="120" ht="35" customHeight="1">
      <c r="B120" s="5" t="inlineStr">
        <is>
          <t>HU-33</t>
        </is>
      </c>
      <c r="C120" s="5" t="inlineStr">
        <is>
          <t>Como cuidador/a</t>
        </is>
      </c>
      <c r="D120" s="5" t="inlineStr">
        <is>
          <t>Necesito ver quién de la familia anotó o cambió cada cosa</t>
        </is>
      </c>
      <c r="E120" s="5" t="inlineStr">
        <is>
          <t>Con la finalidad de aclarar dudas sin discusiones.</t>
        </is>
      </c>
      <c r="F120" s="7" t="n">
        <v>1</v>
      </c>
      <c r="G120" s="5" t="inlineStr">
        <is>
          <t>Quién lo anotó</t>
        </is>
      </c>
      <c r="H120" s="5" t="inlineStr">
        <is>
          <t>En caso que varios familiares anotan en la app</t>
        </is>
      </c>
      <c r="I120" s="5" t="inlineStr">
        <is>
          <t>Cuando reviso un registro</t>
        </is>
      </c>
      <c r="J120" s="5" t="inlineStr">
        <is>
          <t>El sistema muestra quién lo anotó.</t>
        </is>
      </c>
      <c r="K120" s="7" t="inlineStr">
        <is>
          <t>E10</t>
        </is>
      </c>
      <c r="L120" s="7" t="inlineStr">
        <is>
          <t>Should</t>
        </is>
      </c>
      <c r="M120" s="7" t="n">
        <v>3</v>
      </c>
      <c r="N120" s="5" t="inlineStr">
        <is>
          <t>Bastián Ñiripil</t>
        </is>
      </c>
      <c r="O120" s="5" t="inlineStr">
        <is>
          <t>En backlog</t>
        </is>
      </c>
      <c r="P120" s="5" t="inlineStr">
        <is>
          <t>Bitácora de accesos y cambios a datos de salud (usuario, acción, recurso y fecha), que ningún usuario puede editar.</t>
        </is>
      </c>
    </row>
    <row r="121" ht="35" customHeight="1">
      <c r="B121" s="21" t="n"/>
      <c r="C121" s="21" t="n"/>
      <c r="D121" s="21" t="n"/>
      <c r="E121" s="21" t="n"/>
      <c r="F121" s="7" t="n">
        <v>2</v>
      </c>
      <c r="G121" s="5" t="inlineStr">
        <is>
          <t>Quién lo corrigió</t>
        </is>
      </c>
      <c r="H121" s="5" t="inlineStr">
        <is>
          <t>En caso que alguien corrigió un registro</t>
        </is>
      </c>
      <c r="I121" s="5" t="inlineStr">
        <is>
          <t>Cuando lo reviso</t>
        </is>
      </c>
      <c r="J121" s="5" t="inlineStr">
        <is>
          <t>El sistema muestra quién lo corrigió.</t>
        </is>
      </c>
      <c r="K121" s="21" t="n"/>
      <c r="L121" s="21" t="n"/>
      <c r="M121" s="21" t="n"/>
      <c r="N121" s="21" t="n"/>
      <c r="O121" s="21" t="n"/>
      <c r="P121" s="21" t="n"/>
    </row>
    <row r="122" ht="6" customHeight="1">
      <c r="B122" s="8" t="n"/>
      <c r="C122" s="8" t="n"/>
      <c r="D122" s="8" t="n"/>
      <c r="E122" s="8" t="n"/>
      <c r="F122" s="8" t="n"/>
      <c r="G122" s="8" t="n"/>
      <c r="H122" s="8" t="n"/>
      <c r="I122" s="8" t="n"/>
      <c r="J122" s="8" t="n"/>
      <c r="K122" s="8" t="n"/>
      <c r="L122" s="8" t="n"/>
      <c r="M122" s="8" t="n"/>
      <c r="N122" s="8" t="n"/>
      <c r="O122" s="8" t="n"/>
      <c r="P122" s="8" t="n"/>
    </row>
    <row r="123" ht="50" customHeight="1">
      <c r="B123" s="5" t="inlineStr">
        <is>
          <t>HU-34</t>
        </is>
      </c>
      <c r="C123" s="5" t="inlineStr">
        <is>
          <t>Como equipo de desarrollo</t>
        </is>
      </c>
      <c r="D123" s="5" t="inlineStr">
        <is>
          <t>Necesito levantar el sistema completo con un solo comando en un entorno limpio</t>
        </is>
      </c>
      <c r="E123" s="5" t="inlineStr">
        <is>
          <t>Con la finalidad de asegurar que se pueda instalar y probar en cualquier máquina.</t>
        </is>
      </c>
      <c r="F123" s="7" t="n">
        <v>1</v>
      </c>
      <c r="G123" s="5" t="inlineStr">
        <is>
          <t>Instalación limpia</t>
        </is>
      </c>
      <c r="H123" s="5" t="inlineStr">
        <is>
          <t>En caso que la máquina no tiene el proyecto instalado, solo Docker</t>
        </is>
      </c>
      <c r="I123" s="5" t="inlineStr">
        <is>
          <t>Cuando se ejecuta el comando de inicio indicado en el README</t>
        </is>
      </c>
      <c r="J123" s="5" t="inlineStr">
        <is>
          <t>El sistema levanta la app web, el servidor y la base de datos, y queda listo para usar.</t>
        </is>
      </c>
      <c r="K123" s="7" t="inlineStr">
        <is>
          <t>E10</t>
        </is>
      </c>
      <c r="L123" s="7" t="inlineStr">
        <is>
          <t>Must</t>
        </is>
      </c>
      <c r="M123" s="7" t="n">
        <v>5</v>
      </c>
      <c r="N123" s="5" t="inlineStr">
        <is>
          <t>Bastián Ñiripil</t>
        </is>
      </c>
      <c r="O123" s="5" t="inlineStr">
        <is>
          <t>Habilitadora</t>
        </is>
      </c>
      <c r="P123" s="5" t="inlineStr">
        <is>
          <t>Un solo comando (docker compose) levanta frontend, backend y base de datos. Documentado en el README (OE4).</t>
        </is>
      </c>
    </row>
    <row r="124" ht="6" customHeight="1">
      <c r="B124" s="8" t="n"/>
      <c r="C124" s="8" t="n"/>
      <c r="D124" s="8" t="n"/>
      <c r="E124" s="8" t="n"/>
      <c r="F124" s="8" t="n"/>
      <c r="G124" s="8" t="n"/>
      <c r="H124" s="8" t="n"/>
      <c r="I124" s="8" t="n"/>
      <c r="J124" s="8" t="n"/>
      <c r="K124" s="8" t="n"/>
      <c r="L124" s="8" t="n"/>
      <c r="M124" s="8" t="n"/>
      <c r="N124" s="8" t="n"/>
      <c r="O124" s="8" t="n"/>
      <c r="P124" s="8" t="n"/>
    </row>
    <row r="125" ht="80" customHeight="1">
      <c r="B125" s="5" t="inlineStr">
        <is>
          <t>HU-35</t>
        </is>
      </c>
      <c r="C125" s="5" t="inlineStr">
        <is>
          <t>Como profesional del programa de cuidados de la municipalidad o del CESFAM</t>
        </is>
      </c>
      <c r="D125" s="5" t="inlineStr">
        <is>
          <t>Necesito ver datos agregados y anónimos de las personas cuidadoras de mi territorio</t>
        </is>
      </c>
      <c r="E125" s="5" t="inlineStr">
        <is>
          <t>Con la finalidad de saber dónde hace falta más apoyo.</t>
        </is>
      </c>
      <c r="F125" s="7" t="n">
        <v>1</v>
      </c>
      <c r="G125" s="5" t="inlineStr">
        <is>
          <t>Por definir</t>
        </is>
      </c>
      <c r="H125" s="5" t="inlineStr">
        <is>
          <t>—</t>
        </is>
      </c>
      <c r="I125" s="5" t="inlineStr">
        <is>
          <t>—</t>
        </is>
      </c>
      <c r="J125" s="5" t="inlineStr">
        <is>
          <t>Fuera del MVP: los criterios se definirán si entra en una versión posterior.</t>
        </is>
      </c>
      <c r="K125" s="7" t="inlineStr">
        <is>
          <t>—</t>
        </is>
      </c>
      <c r="L125" s="7" t="inlineStr">
        <is>
          <t>Won't</t>
        </is>
      </c>
      <c r="M125" s="7" t="n"/>
      <c r="N125" s="5" t="inlineStr">
        <is>
          <t>—</t>
        </is>
      </c>
      <c r="O125" s="5" t="inlineStr">
        <is>
          <t>Fuera del MVP</t>
        </is>
      </c>
      <c r="P125" s="5" t="inlineStr">
        <is>
          <t>Corresponde al modelo B2B2C. Requiere un rol institucional y datos anonimizados.</t>
        </is>
      </c>
    </row>
    <row r="126" ht="6" customHeight="1">
      <c r="B126" s="8" t="n"/>
      <c r="C126" s="8" t="n"/>
      <c r="D126" s="8" t="n"/>
      <c r="E126" s="8" t="n"/>
      <c r="F126" s="8" t="n"/>
      <c r="G126" s="8" t="n"/>
      <c r="H126" s="8" t="n"/>
      <c r="I126" s="8" t="n"/>
      <c r="J126" s="8" t="n"/>
      <c r="K126" s="8" t="n"/>
      <c r="L126" s="8" t="n"/>
      <c r="M126" s="8" t="n"/>
      <c r="N126" s="8" t="n"/>
      <c r="O126" s="8" t="n"/>
      <c r="P126" s="8" t="n"/>
    </row>
    <row r="127" ht="50" customHeight="1">
      <c r="B127" s="5" t="inlineStr">
        <is>
          <t>HU-36</t>
        </is>
      </c>
      <c r="C127" s="5" t="inlineStr">
        <is>
          <t>Como cuidador/a principal</t>
        </is>
      </c>
      <c r="D127" s="5" t="inlineStr">
        <is>
          <t>Necesito darle acceso de solo lectura al médico o la enfermera de mi familiar</t>
        </is>
      </c>
      <c r="E127" s="5" t="inlineStr">
        <is>
          <t>Con la finalidad de que vea lo anotado sin que yo tenga que explicarle todo.</t>
        </is>
      </c>
      <c r="F127" s="7" t="n">
        <v>1</v>
      </c>
      <c r="G127" s="5" t="inlineStr">
        <is>
          <t>Por definir</t>
        </is>
      </c>
      <c r="H127" s="5" t="inlineStr">
        <is>
          <t>—</t>
        </is>
      </c>
      <c r="I127" s="5" t="inlineStr">
        <is>
          <t>—</t>
        </is>
      </c>
      <c r="J127" s="5" t="inlineStr">
        <is>
          <t>Fuera del MVP: los criterios se definirán si entra en una versión posterior.</t>
        </is>
      </c>
      <c r="K127" s="7" t="inlineStr">
        <is>
          <t>—</t>
        </is>
      </c>
      <c r="L127" s="7" t="inlineStr">
        <is>
          <t>Won't</t>
        </is>
      </c>
      <c r="M127" s="7" t="n"/>
      <c r="N127" s="5" t="inlineStr">
        <is>
          <t>—</t>
        </is>
      </c>
      <c r="O127" s="5" t="inlineStr">
        <is>
          <t>Fuera del MVP</t>
        </is>
      </c>
      <c r="P127" s="5" t="inlineStr">
        <is>
          <t>Requiere un rol nuevo y un consentimiento adicional de la persona mayor.</t>
        </is>
      </c>
    </row>
    <row r="128" ht="6" customHeight="1">
      <c r="B128" s="8" t="n"/>
      <c r="C128" s="8" t="n"/>
      <c r="D128" s="8" t="n"/>
      <c r="E128" s="8" t="n"/>
      <c r="F128" s="8" t="n"/>
      <c r="G128" s="8" t="n"/>
      <c r="H128" s="8" t="n"/>
      <c r="I128" s="8" t="n"/>
      <c r="J128" s="8" t="n"/>
      <c r="K128" s="8" t="n"/>
      <c r="L128" s="8" t="n"/>
      <c r="M128" s="8" t="n"/>
      <c r="N128" s="8" t="n"/>
      <c r="O128" s="8" t="n"/>
      <c r="P128" s="8" t="n"/>
    </row>
    <row r="130">
      <c r="B130" s="2" t="inlineStr">
        <is>
          <t>Nota:</t>
        </is>
      </c>
    </row>
    <row r="131">
      <c r="B131" s="11" t="inlineStr">
        <is>
          <t>- Las celdas con comentario (triángulo rojo en la esquina) marcan cambios propuestos en la versión 2 que el equipo debe confirmar: puntos de HU-02, lista de HU-14, prioridad de HU-16 y responsable de HU-19.</t>
        </is>
      </c>
    </row>
    <row r="132">
      <c r="B132" s="11" t="inlineStr">
        <is>
          <t>- Tipo / estado "Propuesta nueva" (HU-37 a HU-41): historias nuevas de la versión 2, pendientes de aceptar. No suman al total del backlog en la pestaña Épicas.</t>
        </is>
      </c>
    </row>
    <row r="133">
      <c r="B133" s="11" t="inlineStr">
        <is>
          <t>- Las preguntas abiertas de cada historia están en la columna Criterios técnicos. Detalle de cada columna en la pestaña Instructivo.</t>
        </is>
      </c>
    </row>
  </sheetData>
  <mergeCells count="313">
    <mergeCell ref="C30:C31"/>
    <mergeCell ref="C79:C80"/>
    <mergeCell ref="E79:E80"/>
    <mergeCell ref="C95:C97"/>
    <mergeCell ref="G4:J4"/>
    <mergeCell ref="E95:E97"/>
    <mergeCell ref="P99:P100"/>
    <mergeCell ref="L53:L54"/>
    <mergeCell ref="N53:N54"/>
    <mergeCell ref="E26:E28"/>
    <mergeCell ref="B36:B38"/>
    <mergeCell ref="M90:M91"/>
    <mergeCell ref="E74:E75"/>
    <mergeCell ref="L117:L118"/>
    <mergeCell ref="N117:N118"/>
    <mergeCell ref="M43:M45"/>
    <mergeCell ref="O40:O41"/>
    <mergeCell ref="B22:B24"/>
    <mergeCell ref="D22:D24"/>
    <mergeCell ref="K58:K59"/>
    <mergeCell ref="D71:D72"/>
    <mergeCell ref="O85:O86"/>
    <mergeCell ref="K61:K62"/>
    <mergeCell ref="M61:M62"/>
    <mergeCell ref="K107:K108"/>
    <mergeCell ref="O58:O59"/>
    <mergeCell ref="B40:B41"/>
    <mergeCell ref="K53:K54"/>
    <mergeCell ref="M53:M54"/>
    <mergeCell ref="O82:O83"/>
    <mergeCell ref="M47:M48"/>
    <mergeCell ref="L15:L17"/>
    <mergeCell ref="L82:L83"/>
    <mergeCell ref="M102:M103"/>
    <mergeCell ref="O53:O54"/>
    <mergeCell ref="C36:C38"/>
    <mergeCell ref="O102:O103"/>
    <mergeCell ref="E36:E38"/>
    <mergeCell ref="L26:L28"/>
    <mergeCell ref="B90:B91"/>
    <mergeCell ref="P43:P45"/>
    <mergeCell ref="N50:N51"/>
    <mergeCell ref="P50:P51"/>
    <mergeCell ref="L68:L69"/>
    <mergeCell ref="N68:N69"/>
    <mergeCell ref="E22:E24"/>
    <mergeCell ref="L58:L59"/>
    <mergeCell ref="N58:N59"/>
    <mergeCell ref="C47:C48"/>
    <mergeCell ref="K71:K72"/>
    <mergeCell ref="N107:N108"/>
    <mergeCell ref="K40:K41"/>
    <mergeCell ref="P107:P108"/>
    <mergeCell ref="C40:C41"/>
    <mergeCell ref="K15:K17"/>
    <mergeCell ref="M40:M41"/>
    <mergeCell ref="E40:E41"/>
    <mergeCell ref="D6:D8"/>
    <mergeCell ref="K120:K121"/>
    <mergeCell ref="C120:C121"/>
    <mergeCell ref="M120:M121"/>
    <mergeCell ref="O71:O72"/>
    <mergeCell ref="E120:E121"/>
    <mergeCell ref="P53:P54"/>
    <mergeCell ref="K64:K66"/>
    <mergeCell ref="P47:P48"/>
    <mergeCell ref="C64:C66"/>
    <mergeCell ref="L85:L86"/>
    <mergeCell ref="O15:O17"/>
    <mergeCell ref="E64:E66"/>
    <mergeCell ref="P102:P103"/>
    <mergeCell ref="B30:B31"/>
    <mergeCell ref="D30:D31"/>
    <mergeCell ref="B79:B80"/>
    <mergeCell ref="D79:D80"/>
    <mergeCell ref="O26:O28"/>
    <mergeCell ref="D95:D97"/>
    <mergeCell ref="N64:N66"/>
    <mergeCell ref="O68:O69"/>
    <mergeCell ref="D90:D91"/>
    <mergeCell ref="L71:L72"/>
    <mergeCell ref="M117:M118"/>
    <mergeCell ref="O117:O118"/>
    <mergeCell ref="K110:K111"/>
    <mergeCell ref="P40:P41"/>
    <mergeCell ref="C50:C51"/>
    <mergeCell ref="M110:M111"/>
    <mergeCell ref="N120:N121"/>
    <mergeCell ref="P120:P121"/>
    <mergeCell ref="K6:K8"/>
    <mergeCell ref="L74:L75"/>
    <mergeCell ref="E99:E100"/>
    <mergeCell ref="P64:P66"/>
    <mergeCell ref="B107:B108"/>
    <mergeCell ref="D107:D108"/>
    <mergeCell ref="O6:O8"/>
    <mergeCell ref="M64:M66"/>
    <mergeCell ref="B10:B13"/>
    <mergeCell ref="E30:E31"/>
    <mergeCell ref="N82:N83"/>
    <mergeCell ref="B43:B45"/>
    <mergeCell ref="B33:B34"/>
    <mergeCell ref="K95:K97"/>
    <mergeCell ref="L90:L91"/>
    <mergeCell ref="D36:D38"/>
    <mergeCell ref="D85:D86"/>
    <mergeCell ref="K26:K28"/>
    <mergeCell ref="P117:P118"/>
    <mergeCell ref="K74:K75"/>
    <mergeCell ref="K68:K69"/>
    <mergeCell ref="M68:M69"/>
    <mergeCell ref="N110:N111"/>
    <mergeCell ref="P110:P111"/>
    <mergeCell ref="M58:M59"/>
    <mergeCell ref="B47:B48"/>
    <mergeCell ref="M107:M108"/>
    <mergeCell ref="B102:B103"/>
    <mergeCell ref="E107:E108"/>
    <mergeCell ref="O107:O108"/>
    <mergeCell ref="E19:E20"/>
    <mergeCell ref="L22:L24"/>
    <mergeCell ref="B120:B121"/>
    <mergeCell ref="C10:C13"/>
    <mergeCell ref="M10:M13"/>
    <mergeCell ref="N71:N72"/>
    <mergeCell ref="E10:E13"/>
    <mergeCell ref="D120:D121"/>
    <mergeCell ref="L6:L8"/>
    <mergeCell ref="L30:L31"/>
    <mergeCell ref="B64:B66"/>
    <mergeCell ref="E43:E45"/>
    <mergeCell ref="N15:N17"/>
    <mergeCell ref="L79:L80"/>
    <mergeCell ref="P15:P17"/>
    <mergeCell ref="L95:L97"/>
    <mergeCell ref="N95:N97"/>
    <mergeCell ref="C6:C8"/>
    <mergeCell ref="P82:P83"/>
    <mergeCell ref="D33:D34"/>
    <mergeCell ref="C61:C62"/>
    <mergeCell ref="N26:N28"/>
    <mergeCell ref="K36:K38"/>
    <mergeCell ref="E61:E62"/>
    <mergeCell ref="P26:P28"/>
    <mergeCell ref="M33:M34"/>
    <mergeCell ref="N74:N75"/>
    <mergeCell ref="P74:P75"/>
    <mergeCell ref="P68:P69"/>
    <mergeCell ref="O36:O38"/>
    <mergeCell ref="C53:C54"/>
    <mergeCell ref="P58:P59"/>
    <mergeCell ref="D19:D20"/>
    <mergeCell ref="E53:E54"/>
    <mergeCell ref="K22:K24"/>
    <mergeCell ref="E47:E48"/>
    <mergeCell ref="M22:M24"/>
    <mergeCell ref="M71:M72"/>
    <mergeCell ref="N99:N100"/>
    <mergeCell ref="M19:M20"/>
    <mergeCell ref="E102:E103"/>
    <mergeCell ref="B50:B51"/>
    <mergeCell ref="M15:M17"/>
    <mergeCell ref="L110:L111"/>
    <mergeCell ref="D50:D51"/>
    <mergeCell ref="O22:O24"/>
    <mergeCell ref="O120:O121"/>
    <mergeCell ref="P10:P13"/>
    <mergeCell ref="L19:L20"/>
    <mergeCell ref="D99:D100"/>
    <mergeCell ref="O64:O66"/>
    <mergeCell ref="N85:N86"/>
    <mergeCell ref="B61:B62"/>
    <mergeCell ref="D61:D62"/>
    <mergeCell ref="N6:N8"/>
    <mergeCell ref="N61:N62"/>
    <mergeCell ref="L36:L38"/>
    <mergeCell ref="P61:P62"/>
    <mergeCell ref="C71:C72"/>
    <mergeCell ref="B117:B118"/>
    <mergeCell ref="D47:D48"/>
    <mergeCell ref="K90:K91"/>
    <mergeCell ref="K82:K83"/>
    <mergeCell ref="P71:P72"/>
    <mergeCell ref="P6:P8"/>
    <mergeCell ref="E50:E51"/>
    <mergeCell ref="N90:N91"/>
    <mergeCell ref="O110:O111"/>
    <mergeCell ref="L40:L41"/>
    <mergeCell ref="O19:O20"/>
    <mergeCell ref="N40:N41"/>
    <mergeCell ref="M6:M8"/>
    <mergeCell ref="M50:M51"/>
    <mergeCell ref="C22:C24"/>
    <mergeCell ref="D10:D13"/>
    <mergeCell ref="D40:D41"/>
    <mergeCell ref="K30:K31"/>
    <mergeCell ref="E117:E118"/>
    <mergeCell ref="D43:D45"/>
    <mergeCell ref="K79:K80"/>
    <mergeCell ref="M79:M80"/>
    <mergeCell ref="M95:M97"/>
    <mergeCell ref="O95:O97"/>
    <mergeCell ref="C85:C86"/>
    <mergeCell ref="P90:P91"/>
    <mergeCell ref="B58:B59"/>
    <mergeCell ref="O30:O31"/>
    <mergeCell ref="L33:L34"/>
    <mergeCell ref="M74:M75"/>
    <mergeCell ref="O47:O48"/>
    <mergeCell ref="O74:O75"/>
    <mergeCell ref="N36:N38"/>
    <mergeCell ref="B53:B54"/>
    <mergeCell ref="D53:D54"/>
    <mergeCell ref="C15:C17"/>
    <mergeCell ref="C4:F4"/>
    <mergeCell ref="C82:C83"/>
    <mergeCell ref="L99:L100"/>
    <mergeCell ref="D102:D103"/>
    <mergeCell ref="D117:D118"/>
    <mergeCell ref="N22:N24"/>
    <mergeCell ref="K19:K20"/>
    <mergeCell ref="P22:P24"/>
    <mergeCell ref="C19:C20"/>
    <mergeCell ref="C26:C28"/>
    <mergeCell ref="C102:C103"/>
    <mergeCell ref="K10:K13"/>
    <mergeCell ref="N30:N31"/>
    <mergeCell ref="P30:P31"/>
    <mergeCell ref="N79:N80"/>
    <mergeCell ref="C74:C75"/>
    <mergeCell ref="P79:P80"/>
    <mergeCell ref="C68:C69"/>
    <mergeCell ref="K43:K45"/>
    <mergeCell ref="P95:P97"/>
    <mergeCell ref="E68:E69"/>
    <mergeCell ref="C58:C59"/>
    <mergeCell ref="C107:C108"/>
    <mergeCell ref="O10:O13"/>
    <mergeCell ref="E58:E59"/>
    <mergeCell ref="K85:K86"/>
    <mergeCell ref="B71:B72"/>
    <mergeCell ref="M36:M38"/>
    <mergeCell ref="O43:O45"/>
    <mergeCell ref="O33:O34"/>
    <mergeCell ref="E82:E83"/>
    <mergeCell ref="B15:B17"/>
    <mergeCell ref="B82:B83"/>
    <mergeCell ref="N33:N34"/>
    <mergeCell ref="B26:B28"/>
    <mergeCell ref="K47:K48"/>
    <mergeCell ref="D26:D28"/>
    <mergeCell ref="K102:K103"/>
    <mergeCell ref="B68:B69"/>
    <mergeCell ref="N19:N20"/>
    <mergeCell ref="D68:D69"/>
    <mergeCell ref="P19:P20"/>
    <mergeCell ref="L10:L13"/>
    <mergeCell ref="L50:L51"/>
    <mergeCell ref="B99:B100"/>
    <mergeCell ref="E71:E72"/>
    <mergeCell ref="P36:P38"/>
    <mergeCell ref="L61:L62"/>
    <mergeCell ref="B110:B111"/>
    <mergeCell ref="B85:B86"/>
    <mergeCell ref="E15:E17"/>
    <mergeCell ref="O90:O91"/>
    <mergeCell ref="L107:L108"/>
    <mergeCell ref="D110:D111"/>
    <mergeCell ref="M82:M83"/>
    <mergeCell ref="K4:O4"/>
    <mergeCell ref="B6:B8"/>
    <mergeCell ref="D15:D17"/>
    <mergeCell ref="C43:C45"/>
    <mergeCell ref="M26:M28"/>
    <mergeCell ref="K33:K34"/>
    <mergeCell ref="L47:L48"/>
    <mergeCell ref="C33:C34"/>
    <mergeCell ref="N47:N48"/>
    <mergeCell ref="E33:E34"/>
    <mergeCell ref="D64:D66"/>
    <mergeCell ref="L102:L103"/>
    <mergeCell ref="N102:N103"/>
    <mergeCell ref="K50:K51"/>
    <mergeCell ref="B95:B97"/>
    <mergeCell ref="C90:C91"/>
    <mergeCell ref="K99:K100"/>
    <mergeCell ref="C117:C118"/>
    <mergeCell ref="E90:E91"/>
    <mergeCell ref="C99:C100"/>
    <mergeCell ref="M99:M100"/>
    <mergeCell ref="O50:O51"/>
    <mergeCell ref="O99:O100"/>
    <mergeCell ref="B19:B20"/>
    <mergeCell ref="C110:C111"/>
    <mergeCell ref="E110:E111"/>
    <mergeCell ref="M30:M31"/>
    <mergeCell ref="B74:B75"/>
    <mergeCell ref="O79:O80"/>
    <mergeCell ref="O61:O62"/>
    <mergeCell ref="D74:D75"/>
    <mergeCell ref="K117:K118"/>
    <mergeCell ref="M85:M86"/>
    <mergeCell ref="E85:E86"/>
    <mergeCell ref="N10:N13"/>
    <mergeCell ref="D58:D59"/>
    <mergeCell ref="L120:L121"/>
    <mergeCell ref="E6:E8"/>
    <mergeCell ref="L43:L45"/>
    <mergeCell ref="N43:N45"/>
    <mergeCell ref="D82:D83"/>
    <mergeCell ref="L64:L66"/>
    <mergeCell ref="P33:P34"/>
    <mergeCell ref="P85:P86"/>
  </mergeCells>
  <dataValidations count="3">
    <dataValidation sqref="L6:L128" showDropDown="0" showInputMessage="0" showErrorMessage="0" allowBlank="1" type="list">
      <formula1>"Must,Should,Could,Won't"</formula1>
    </dataValidation>
    <dataValidation sqref="N6:N128" showDropDown="0" showInputMessage="0" showErrorMessage="0" allowBlank="1" type="list">
      <formula1>"Bastián Ñiripil,Luis Pérez,—"</formula1>
    </dataValidation>
    <dataValidation sqref="O6:O128" showDropDown="0" showInputMessage="0" showErrorMessage="0" allowBlank="1" type="list">
      <formula1>"En backlog,Habilitadora,Propuesta nueva,Fuera del MVP"</formula1>
    </dataValidation>
  </dataValidations>
  <pageMargins left="0.7086614173228347" right="0.7086614173228347" top="0.7480314960629921" bottom="0.7480314960629921" header="0.3149606299212598" footer="0.3149606299212598"/>
  <pageSetup orientation="landscape" paperSize="9" scale="70"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B1:L34"/>
  <sheetViews>
    <sheetView showGridLines="0" tabSelected="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style="2" min="1" max="1"/>
    <col width="9" customWidth="1" style="2" min="2" max="2"/>
    <col width="26" customWidth="1" style="2" min="3" max="3"/>
    <col width="46" customWidth="1" style="2" min="4" max="4"/>
    <col width="11" customWidth="1" style="2" min="5" max="5"/>
    <col width="24" customWidth="1" style="2" min="6" max="6"/>
    <col width="30" customWidth="1" style="2" min="7" max="7"/>
    <col width="11" customWidth="1" style="2" min="8" max="8"/>
    <col width="9" customWidth="1" style="2" min="9" max="9"/>
    <col width="9" customWidth="1" style="2" min="10" max="10"/>
    <col width="18" customWidth="1" style="2" min="11" max="11"/>
    <col width="11" customWidth="1" style="2" min="12" max="12"/>
    <col width="3" customWidth="1" style="2" min="13" max="13"/>
  </cols>
  <sheetData>
    <row r="1" ht="31" customHeight="1">
      <c r="B1" s="12" t="inlineStr">
        <is>
          <t>Épicas del Product Backlog</t>
        </is>
      </c>
    </row>
    <row r="2">
      <c r="B2" s="17" t="inlineStr">
        <is>
          <t>Proyecto CuidaTrack · Product Backlog v2 · 1 de octubre de 2026. Los totales se calculan desde la pestaña Historias de Usuario.</t>
        </is>
      </c>
    </row>
    <row r="4">
      <c r="B4" s="16" t="inlineStr">
        <is>
          <t>ID épica</t>
        </is>
      </c>
      <c r="C4" s="16" t="inlineStr">
        <is>
          <t>Épica</t>
        </is>
      </c>
      <c r="D4" s="16" t="inlineStr">
        <is>
          <t>Qué resuelve para la persona cuidadora</t>
        </is>
      </c>
      <c r="E4" s="16" t="inlineStr">
        <is>
          <t>Objetivos Fase 1</t>
        </is>
      </c>
      <c r="F4" s="16" t="inlineStr">
        <is>
          <t>Responsable de desarrollo</t>
        </is>
      </c>
      <c r="G4" s="16" t="inlineStr">
        <is>
          <t>Backlog MVP</t>
        </is>
      </c>
      <c r="H4" s="18" t="n"/>
      <c r="I4" s="18" t="n"/>
      <c r="J4" s="19" t="n"/>
      <c r="K4" s="16" t="inlineStr">
        <is>
          <t>Propuestas v2</t>
        </is>
      </c>
      <c r="L4" s="19" t="n"/>
    </row>
    <row r="5" ht="30" customHeight="1">
      <c r="B5" s="21" t="n"/>
      <c r="C5" s="21" t="n"/>
      <c r="D5" s="21" t="n"/>
      <c r="E5" s="21" t="n"/>
      <c r="F5" s="21" t="n"/>
      <c r="G5" s="16" t="inlineStr">
        <is>
          <t>Historias</t>
        </is>
      </c>
      <c r="H5" s="16" t="inlineStr">
        <is>
          <t>N° historias</t>
        </is>
      </c>
      <c r="I5" s="16" t="inlineStr">
        <is>
          <t>Puntos</t>
        </is>
      </c>
      <c r="J5" s="16" t="inlineStr">
        <is>
          <t>Puntos Must</t>
        </is>
      </c>
      <c r="K5" s="16" t="inlineStr">
        <is>
          <t>Historias nuevas</t>
        </is>
      </c>
      <c r="L5" s="16" t="inlineStr">
        <is>
          <t>Puntos</t>
        </is>
      </c>
    </row>
    <row r="6" ht="35" customHeight="1">
      <c r="B6" s="7" t="inlineStr">
        <is>
          <t>E1</t>
        </is>
      </c>
      <c r="C6" s="5" t="inlineStr">
        <is>
          <t>Cuenta y acceso</t>
        </is>
      </c>
      <c r="D6" s="5" t="inlineStr">
        <is>
          <t>Entrar fácil a la app desde el celular y decidir con confianza qué datos de su familiar entrega.</t>
        </is>
      </c>
      <c r="E6" s="7" t="inlineStr">
        <is>
          <t>OE4</t>
        </is>
      </c>
      <c r="F6" s="5" t="inlineStr">
        <is>
          <t>Bastián Ñiripil</t>
        </is>
      </c>
      <c r="G6" s="5" t="inlineStr">
        <is>
          <t>HU-01, HU-02, HU-03, HU-04</t>
        </is>
      </c>
      <c r="H6" s="7">
        <f>COUNTIFS('Historias de Usuario'!$K$6:$K$128,$B6,'Historias de Usuario'!$O$6:$O$128,"&lt;&gt;Propuesta nueva")</f>
        <v>4</v>
      </c>
      <c r="I6" s="7">
        <f>SUMIFS('Historias de Usuario'!$M$6:$M$128,'Historias de Usuario'!$K$6:$K$128,$B6,'Historias de Usuario'!$O$6:$O$128,"&lt;&gt;Propuesta nueva")</f>
        <v>14</v>
      </c>
      <c r="J6" s="7">
        <f>SUMIFS('Historias de Usuario'!$M$6:$M$128,'Historias de Usuario'!$K$6:$K$128,$B6,'Historias de Usuario'!$O$6:$O$128,"&lt;&gt;Propuesta nueva",'Historias de Usuario'!$L$6:$L$128,"Must")</f>
        <v>11</v>
      </c>
      <c r="K6" s="5" t="inlineStr">
        <is>
          <t>—</t>
        </is>
      </c>
      <c r="L6" s="7">
        <f>SUMIFS('Historias de Usuario'!$M$6:$M$128,'Historias de Usuario'!$K$6:$K$128,$B6,'Historias de Usuario'!$O$6:$O$128,"Propuesta nueva")</f>
        <v>0</v>
      </c>
    </row>
    <row r="7" ht="35" customHeight="1">
      <c r="B7" s="7" t="inlineStr">
        <is>
          <t>E2</t>
        </is>
      </c>
      <c r="C7" s="5" t="inlineStr">
        <is>
          <t>Persona mayor y equipo de cuidado</t>
        </is>
      </c>
      <c r="D7" s="5" t="inlineStr">
        <is>
          <t>Registrar a la persona mayor y compartir su cuidado con la familia, controlando quién ve la información.</t>
        </is>
      </c>
      <c r="E7" s="7" t="inlineStr">
        <is>
          <t>OE1, OE4</t>
        </is>
      </c>
      <c r="F7" s="5" t="inlineStr">
        <is>
          <t>Bastián Ñiripil</t>
        </is>
      </c>
      <c r="G7" s="5" t="inlineStr">
        <is>
          <t>HU-05, HU-06, HU-07</t>
        </is>
      </c>
      <c r="H7" s="7">
        <f>COUNTIFS('Historias de Usuario'!$K$6:$K$128,$B7,'Historias de Usuario'!$O$6:$O$128,"&lt;&gt;Propuesta nueva")</f>
        <v>3</v>
      </c>
      <c r="I7" s="7">
        <f>SUMIFS('Historias de Usuario'!$M$6:$M$128,'Historias de Usuario'!$K$6:$K$128,$B7,'Historias de Usuario'!$O$6:$O$128,"&lt;&gt;Propuesta nueva")</f>
        <v>10</v>
      </c>
      <c r="J7" s="7">
        <f>SUMIFS('Historias de Usuario'!$M$6:$M$128,'Historias de Usuario'!$K$6:$K$128,$B7,'Historias de Usuario'!$O$6:$O$128,"&lt;&gt;Propuesta nueva",'Historias de Usuario'!$L$6:$L$128,"Must")</f>
        <v>10</v>
      </c>
      <c r="K7" s="5" t="inlineStr">
        <is>
          <t>HU-38</t>
        </is>
      </c>
      <c r="L7" s="7">
        <f>SUMIFS('Historias de Usuario'!$M$6:$M$128,'Historias de Usuario'!$K$6:$K$128,$B7,'Historias de Usuario'!$O$6:$O$128,"Propuesta nueva")</f>
        <v>3</v>
      </c>
    </row>
    <row r="8" ht="35" customHeight="1">
      <c r="B8" s="7" t="inlineStr">
        <is>
          <t>E3</t>
        </is>
      </c>
      <c r="C8" s="5" t="inlineStr">
        <is>
          <t>Medicamentos</t>
        </is>
      </c>
      <c r="D8" s="5" t="inlineStr">
        <is>
          <t>Saber qué remedio toca, anotarlo en un toque y evitar olvidos o errores de horario.</t>
        </is>
      </c>
      <c r="E8" s="7" t="inlineStr">
        <is>
          <t>OE1</t>
        </is>
      </c>
      <c r="F8" s="5" t="inlineStr">
        <is>
          <t>Bastián Ñiripil (HU-37 propuesta: Luis Pérez)</t>
        </is>
      </c>
      <c r="G8" s="5" t="inlineStr">
        <is>
          <t>HU-08, HU-09, HU-10, HU-11, HU-12, HU-13</t>
        </is>
      </c>
      <c r="H8" s="7">
        <f>COUNTIFS('Historias de Usuario'!$K$6:$K$128,$B8,'Historias de Usuario'!$O$6:$O$128,"&lt;&gt;Propuesta nueva")</f>
        <v>6</v>
      </c>
      <c r="I8" s="7">
        <f>SUMIFS('Historias de Usuario'!$M$6:$M$128,'Historias de Usuario'!$K$6:$K$128,$B8,'Historias de Usuario'!$O$6:$O$128,"&lt;&gt;Propuesta nueva")</f>
        <v>19</v>
      </c>
      <c r="J8" s="7">
        <f>SUMIFS('Historias de Usuario'!$M$6:$M$128,'Historias de Usuario'!$K$6:$K$128,$B8,'Historias de Usuario'!$O$6:$O$128,"&lt;&gt;Propuesta nueva",'Historias de Usuario'!$L$6:$L$128,"Must")</f>
        <v>14</v>
      </c>
      <c r="K8" s="5" t="inlineStr">
        <is>
          <t>HU-37, HU-41</t>
        </is>
      </c>
      <c r="L8" s="7">
        <f>SUMIFS('Historias de Usuario'!$M$6:$M$128,'Historias de Usuario'!$K$6:$K$128,$B8,'Historias de Usuario'!$O$6:$O$128,"Propuesta nueva")</f>
        <v>10</v>
      </c>
    </row>
    <row r="9" ht="35" customHeight="1">
      <c r="B9" s="7" t="inlineStr">
        <is>
          <t>E4</t>
        </is>
      </c>
      <c r="C9" s="5" t="inlineStr">
        <is>
          <t>Actividades y tiempo de cuidado</t>
        </is>
      </c>
      <c r="D9" s="5" t="inlineStr">
        <is>
          <t>Dejar registro de los cuidados diarios para que la familia sepa qué se hizo.</t>
        </is>
      </c>
      <c r="E9" s="7" t="inlineStr">
        <is>
          <t>OE1</t>
        </is>
      </c>
      <c r="F9" s="5" t="inlineStr">
        <is>
          <t>Bastián Ñiripil</t>
        </is>
      </c>
      <c r="G9" s="5" t="inlineStr">
        <is>
          <t>HU-14, HU-15, HU-16</t>
        </is>
      </c>
      <c r="H9" s="7">
        <f>COUNTIFS('Historias de Usuario'!$K$6:$K$128,$B9,'Historias de Usuario'!$O$6:$O$128,"&lt;&gt;Propuesta nueva")</f>
        <v>3</v>
      </c>
      <c r="I9" s="7">
        <f>SUMIFS('Historias de Usuario'!$M$6:$M$128,'Historias de Usuario'!$K$6:$K$128,$B9,'Historias de Usuario'!$O$6:$O$128,"&lt;&gt;Propuesta nueva")</f>
        <v>8</v>
      </c>
      <c r="J9" s="7">
        <f>SUMIFS('Historias de Usuario'!$M$6:$M$128,'Historias de Usuario'!$K$6:$K$128,$B9,'Historias de Usuario'!$O$6:$O$128,"&lt;&gt;Propuesta nueva",'Historias de Usuario'!$L$6:$L$128,"Must")</f>
        <v>3</v>
      </c>
      <c r="K9" s="5" t="inlineStr">
        <is>
          <t>—</t>
        </is>
      </c>
      <c r="L9" s="7">
        <f>SUMIFS('Historias de Usuario'!$M$6:$M$128,'Historias de Usuario'!$K$6:$K$128,$B9,'Historias de Usuario'!$O$6:$O$128,"Propuesta nueva")</f>
        <v>0</v>
      </c>
    </row>
    <row r="10" ht="35" customHeight="1">
      <c r="B10" s="7" t="inlineStr">
        <is>
          <t>E5</t>
        </is>
      </c>
      <c r="C10" s="5" t="inlineStr">
        <is>
          <t>Citas médicas</t>
        </is>
      </c>
      <c r="D10" s="5" t="inlineStr">
        <is>
          <t>No perder horas médicas y guardar lo que dijo el médico.</t>
        </is>
      </c>
      <c r="E10" s="7" t="inlineStr">
        <is>
          <t>OE1</t>
        </is>
      </c>
      <c r="F10" s="5" t="inlineStr">
        <is>
          <t>Bastián Ñiripil (HU-19: Luis Pérez)</t>
        </is>
      </c>
      <c r="G10" s="5" t="inlineStr">
        <is>
          <t>HU-17, HU-18, HU-19</t>
        </is>
      </c>
      <c r="H10" s="7">
        <f>COUNTIFS('Historias de Usuario'!$K$6:$K$128,$B10,'Historias de Usuario'!$O$6:$O$128,"&lt;&gt;Propuesta nueva")</f>
        <v>3</v>
      </c>
      <c r="I10" s="7">
        <f>SUMIFS('Historias de Usuario'!$M$6:$M$128,'Historias de Usuario'!$K$6:$K$128,$B10,'Historias de Usuario'!$O$6:$O$128,"&lt;&gt;Propuesta nueva")</f>
        <v>7</v>
      </c>
      <c r="J10" s="7">
        <f>SUMIFS('Historias de Usuario'!$M$6:$M$128,'Historias de Usuario'!$K$6:$K$128,$B10,'Historias de Usuario'!$O$6:$O$128,"&lt;&gt;Propuesta nueva",'Historias de Usuario'!$L$6:$L$128,"Must")</f>
        <v>2</v>
      </c>
      <c r="K10" s="5" t="inlineStr">
        <is>
          <t>—</t>
        </is>
      </c>
      <c r="L10" s="7">
        <f>SUMIFS('Historias de Usuario'!$M$6:$M$128,'Historias de Usuario'!$K$6:$K$128,$B10,'Historias de Usuario'!$O$6:$O$128,"Propuesta nueva")</f>
        <v>0</v>
      </c>
    </row>
    <row r="11" ht="35" customHeight="1">
      <c r="B11" s="7" t="inlineStr">
        <is>
          <t>E6</t>
        </is>
      </c>
      <c r="C11" s="5" t="inlineStr">
        <is>
          <t>Sobrecarga del cuidador</t>
        </is>
      </c>
      <c r="D11" s="5" t="inlineStr">
        <is>
          <t>Darse cuenta a tiempo del propio cansancio y decidir cuándo pedir ayuda.</t>
        </is>
      </c>
      <c r="E11" s="7" t="inlineStr">
        <is>
          <t>OE1, OG</t>
        </is>
      </c>
      <c r="F11" s="5" t="inlineStr">
        <is>
          <t>Bastián Ñiripil (HU-20) / Luis Pérez (HU-21)</t>
        </is>
      </c>
      <c r="G11" s="5" t="inlineStr">
        <is>
          <t>HU-20, HU-21</t>
        </is>
      </c>
      <c r="H11" s="7">
        <f>COUNTIFS('Historias de Usuario'!$K$6:$K$128,$B11,'Historias de Usuario'!$O$6:$O$128,"&lt;&gt;Propuesta nueva")</f>
        <v>2</v>
      </c>
      <c r="I11" s="7">
        <f>SUMIFS('Historias de Usuario'!$M$6:$M$128,'Historias de Usuario'!$K$6:$K$128,$B11,'Historias de Usuario'!$O$6:$O$128,"&lt;&gt;Propuesta nueva")</f>
        <v>6</v>
      </c>
      <c r="J11" s="7">
        <f>SUMIFS('Historias de Usuario'!$M$6:$M$128,'Historias de Usuario'!$K$6:$K$128,$B11,'Historias de Usuario'!$O$6:$O$128,"&lt;&gt;Propuesta nueva",'Historias de Usuario'!$L$6:$L$128,"Must")</f>
        <v>6</v>
      </c>
      <c r="K11" s="5" t="inlineStr">
        <is>
          <t>—</t>
        </is>
      </c>
      <c r="L11" s="7">
        <f>SUMIFS('Historias de Usuario'!$M$6:$M$128,'Historias de Usuario'!$K$6:$K$128,$B11,'Historias de Usuario'!$O$6:$O$128,"Propuesta nueva")</f>
        <v>0</v>
      </c>
    </row>
    <row r="12" ht="35" customHeight="1">
      <c r="B12" s="7" t="inlineStr">
        <is>
          <t>E7</t>
        </is>
      </c>
      <c r="C12" s="5" t="inlineStr">
        <is>
          <t>Reportería</t>
        </is>
      </c>
      <c r="D12" s="5" t="inlineStr">
        <is>
          <t>Ver de un vistazo cómo va el cuidado y llevar un resumen al control médico.</t>
        </is>
      </c>
      <c r="E12" s="7" t="inlineStr">
        <is>
          <t>OG</t>
        </is>
      </c>
      <c r="F12" s="5" t="inlineStr">
        <is>
          <t>Luis Pérez</t>
        </is>
      </c>
      <c r="G12" s="5" t="inlineStr">
        <is>
          <t>HU-22, HU-23, HU-24</t>
        </is>
      </c>
      <c r="H12" s="7">
        <f>COUNTIFS('Historias de Usuario'!$K$6:$K$128,$B12,'Historias de Usuario'!$O$6:$O$128,"&lt;&gt;Propuesta nueva")</f>
        <v>3</v>
      </c>
      <c r="I12" s="7">
        <f>SUMIFS('Historias de Usuario'!$M$6:$M$128,'Historias de Usuario'!$K$6:$K$128,$B12,'Historias de Usuario'!$O$6:$O$128,"&lt;&gt;Propuesta nueva")</f>
        <v>13</v>
      </c>
      <c r="J12" s="7">
        <f>SUMIFS('Historias de Usuario'!$M$6:$M$128,'Historias de Usuario'!$K$6:$K$128,$B12,'Historias de Usuario'!$O$6:$O$128,"&lt;&gt;Propuesta nueva",'Historias de Usuario'!$L$6:$L$128,"Must")</f>
        <v>5</v>
      </c>
      <c r="K12" s="5" t="inlineStr">
        <is>
          <t>HU-40</t>
        </is>
      </c>
      <c r="L12" s="7">
        <f>SUMIFS('Historias de Usuario'!$M$6:$M$128,'Historias de Usuario'!$K$6:$K$128,$B12,'Historias de Usuario'!$O$6:$O$128,"Propuesta nueva")</f>
        <v>3</v>
      </c>
    </row>
    <row r="13" ht="35" customHeight="1">
      <c r="B13" s="7" t="inlineStr">
        <is>
          <t>E8</t>
        </is>
      </c>
      <c r="C13" s="5" t="inlineStr">
        <is>
          <t>Alertas tempranas</t>
        </is>
      </c>
      <c r="D13" s="5" t="inlineStr">
        <is>
          <t>Recibir avisos a tiempo cuando algo se escapa, incluido el propio agotamiento.</t>
        </is>
      </c>
      <c r="E13" s="7" t="inlineStr">
        <is>
          <t>OE3</t>
        </is>
      </c>
      <c r="F13" s="5" t="inlineStr">
        <is>
          <t>Luis Pérez</t>
        </is>
      </c>
      <c r="G13" s="5" t="inlineStr">
        <is>
          <t>HU-25, HU-26, HU-28, HU-27</t>
        </is>
      </c>
      <c r="H13" s="7">
        <f>COUNTIFS('Historias de Usuario'!$K$6:$K$128,$B13,'Historias de Usuario'!$O$6:$O$128,"&lt;&gt;Propuesta nueva")</f>
        <v>4</v>
      </c>
      <c r="I13" s="7">
        <f>SUMIFS('Historias de Usuario'!$M$6:$M$128,'Historias de Usuario'!$K$6:$K$128,$B13,'Historias de Usuario'!$O$6:$O$128,"&lt;&gt;Propuesta nueva")</f>
        <v>13</v>
      </c>
      <c r="J13" s="7">
        <f>SUMIFS('Historias de Usuario'!$M$6:$M$128,'Historias de Usuario'!$K$6:$K$128,$B13,'Historias de Usuario'!$O$6:$O$128,"&lt;&gt;Propuesta nueva",'Historias de Usuario'!$L$6:$L$128,"Must")</f>
        <v>10</v>
      </c>
      <c r="K13" s="5" t="inlineStr">
        <is>
          <t>HU-39</t>
        </is>
      </c>
      <c r="L13" s="7">
        <f>SUMIFS('Historias de Usuario'!$M$6:$M$128,'Historias de Usuario'!$K$6:$K$128,$B13,'Historias de Usuario'!$O$6:$O$128,"Propuesta nueva")</f>
        <v>3</v>
      </c>
    </row>
    <row r="14" ht="35" customHeight="1">
      <c r="B14" s="7" t="inlineStr">
        <is>
          <t>E9</t>
        </is>
      </c>
      <c r="C14" s="5" t="inlineStr">
        <is>
          <t>Asistente IA</t>
        </is>
      </c>
      <c r="D14" s="5" t="inlineStr">
        <is>
          <t>Entender la semana en lenguaje simple y resolver dudas sobre lo anotado, sin consejos médicos.</t>
        </is>
      </c>
      <c r="E14" s="7" t="inlineStr">
        <is>
          <t>OE2</t>
        </is>
      </c>
      <c r="F14" s="5" t="inlineStr">
        <is>
          <t>Luis Pérez</t>
        </is>
      </c>
      <c r="G14" s="5" t="inlineStr">
        <is>
          <t>HU-29, HU-31, HU-30</t>
        </is>
      </c>
      <c r="H14" s="7">
        <f>COUNTIFS('Historias de Usuario'!$K$6:$K$128,$B14,'Historias de Usuario'!$O$6:$O$128,"&lt;&gt;Propuesta nueva")</f>
        <v>3</v>
      </c>
      <c r="I14" s="7">
        <f>SUMIFS('Historias de Usuario'!$M$6:$M$128,'Historias de Usuario'!$K$6:$K$128,$B14,'Historias de Usuario'!$O$6:$O$128,"&lt;&gt;Propuesta nueva")</f>
        <v>19</v>
      </c>
      <c r="J14" s="7">
        <f>SUMIFS('Historias de Usuario'!$M$6:$M$128,'Historias de Usuario'!$K$6:$K$128,$B14,'Historias de Usuario'!$O$6:$O$128,"&lt;&gt;Propuesta nueva",'Historias de Usuario'!$L$6:$L$128,"Must")</f>
        <v>11</v>
      </c>
      <c r="K14" s="5" t="inlineStr">
        <is>
          <t>—</t>
        </is>
      </c>
      <c r="L14" s="7">
        <f>SUMIFS('Historias de Usuario'!$M$6:$M$128,'Historias de Usuario'!$K$6:$K$128,$B14,'Historias de Usuario'!$O$6:$O$128,"Propuesta nueva")</f>
        <v>0</v>
      </c>
    </row>
    <row r="15" ht="50" customHeight="1">
      <c r="B15" s="7" t="inlineStr">
        <is>
          <t>E10</t>
        </is>
      </c>
      <c r="C15" s="5" t="inlineStr">
        <is>
          <t>Seguridad y despliegue</t>
        </is>
      </c>
      <c r="D15" s="5" t="inlineStr">
        <is>
          <t>Confiar en que la información de su familiar está protegida. Incluye la historia habilitadora de despliegue.</t>
        </is>
      </c>
      <c r="E15" s="7" t="inlineStr">
        <is>
          <t>OE4</t>
        </is>
      </c>
      <c r="F15" s="5" t="inlineStr">
        <is>
          <t>Bastián Ñiripil</t>
        </is>
      </c>
      <c r="G15" s="5" t="inlineStr">
        <is>
          <t>HU-32, HU-33, HU-34</t>
        </is>
      </c>
      <c r="H15" s="7">
        <f>COUNTIFS('Historias de Usuario'!$K$6:$K$128,$B15,'Historias de Usuario'!$O$6:$O$128,"&lt;&gt;Propuesta nueva")</f>
        <v>3</v>
      </c>
      <c r="I15" s="7">
        <f>SUMIFS('Historias de Usuario'!$M$6:$M$128,'Historias de Usuario'!$K$6:$K$128,$B15,'Historias de Usuario'!$O$6:$O$128,"&lt;&gt;Propuesta nueva")</f>
        <v>13</v>
      </c>
      <c r="J15" s="7">
        <f>SUMIFS('Historias de Usuario'!$M$6:$M$128,'Historias de Usuario'!$K$6:$K$128,$B15,'Historias de Usuario'!$O$6:$O$128,"&lt;&gt;Propuesta nueva",'Historias de Usuario'!$L$6:$L$128,"Must")</f>
        <v>10</v>
      </c>
      <c r="K15" s="5" t="inlineStr">
        <is>
          <t>—</t>
        </is>
      </c>
      <c r="L15" s="7">
        <f>SUMIFS('Historias de Usuario'!$M$6:$M$128,'Historias de Usuario'!$K$6:$K$128,$B15,'Historias de Usuario'!$O$6:$O$128,"Propuesta nueva")</f>
        <v>0</v>
      </c>
    </row>
    <row r="16" ht="20" customHeight="1">
      <c r="B16" s="22" t="inlineStr">
        <is>
          <t>Total MVP (E1 a E10)</t>
        </is>
      </c>
      <c r="C16" s="18" t="n"/>
      <c r="D16" s="18" t="n"/>
      <c r="E16" s="18" t="n"/>
      <c r="F16" s="18" t="n"/>
      <c r="G16" s="19" t="n"/>
      <c r="H16" s="23">
        <f>SUM(H6:H15)</f>
        <v>34</v>
      </c>
      <c r="I16" s="23">
        <f>SUM(I6:I15)</f>
        <v>122</v>
      </c>
      <c r="J16" s="23">
        <f>SUM(J6:J15)</f>
        <v>82</v>
      </c>
      <c r="K16" s="22" t="n"/>
      <c r="L16" s="23">
        <f>SUM(L6:L15)</f>
        <v>19</v>
      </c>
    </row>
    <row r="17" ht="50" customHeight="1">
      <c r="B17" s="7" t="inlineStr">
        <is>
          <t>—</t>
        </is>
      </c>
      <c r="C17" s="5" t="inlineStr">
        <is>
          <t>Fuera del MVP</t>
        </is>
      </c>
      <c r="D17" s="5" t="inlineStr">
        <is>
          <t>Historias registradas para una versión posterior (prioridad Won't); no se estiman ni se modelan ahora.</t>
        </is>
      </c>
      <c r="E17" s="7" t="inlineStr">
        <is>
          <t>—</t>
        </is>
      </c>
      <c r="F17" s="5" t="inlineStr">
        <is>
          <t>—</t>
        </is>
      </c>
      <c r="G17" s="5" t="inlineStr">
        <is>
          <t>HU-35, HU-36</t>
        </is>
      </c>
      <c r="H17" s="7">
        <f>COUNTIFS('Historias de Usuario'!$K$6:$K$128,$B17,'Historias de Usuario'!$O$6:$O$128,"&lt;&gt;Propuesta nueva")</f>
        <v>2</v>
      </c>
      <c r="I17" s="7" t="inlineStr">
        <is>
          <t>—</t>
        </is>
      </c>
      <c r="J17" s="7" t="inlineStr">
        <is>
          <t>—</t>
        </is>
      </c>
      <c r="K17" s="5" t="inlineStr">
        <is>
          <t>—</t>
        </is>
      </c>
      <c r="L17" s="7" t="inlineStr">
        <is>
          <t>—</t>
        </is>
      </c>
    </row>
    <row r="20">
      <c r="B20" s="24" t="inlineStr">
        <is>
          <t>Carga por responsable de desarrollo</t>
        </is>
      </c>
    </row>
    <row r="21" ht="46" customHeight="1">
      <c r="B21" s="16" t="inlineStr">
        <is>
          <t>Responsable</t>
        </is>
      </c>
      <c r="C21" s="25" t="n"/>
      <c r="D21" s="16" t="inlineStr">
        <is>
          <t>Puntos backlog MVP</t>
        </is>
      </c>
      <c r="E21" s="16" t="inlineStr">
        <is>
          <t>Puntos propuestas v2</t>
        </is>
      </c>
      <c r="F21" s="16" t="inlineStr">
        <is>
          <t>Total con propuestas</t>
        </is>
      </c>
    </row>
    <row r="22" ht="18" customHeight="1">
      <c r="B22" s="5" t="inlineStr">
        <is>
          <t>Bastián Ñiripil</t>
        </is>
      </c>
      <c r="C22" s="19" t="n"/>
      <c r="D22" s="7">
        <f>SUMIFS('Historias de Usuario'!$M$6:$M$128,'Historias de Usuario'!$N$6:$N$128,$B22,'Historias de Usuario'!$O$6:$O$128,"&lt;&gt;Propuesta nueva")</f>
        <v>71</v>
      </c>
      <c r="E22" s="7">
        <f>SUMIFS('Historias de Usuario'!$M$6:$M$128,'Historias de Usuario'!$N$6:$N$128,$B22,'Historias de Usuario'!$O$6:$O$128,"Propuesta nueva")</f>
        <v>8</v>
      </c>
      <c r="F22" s="7">
        <f>D22+E22</f>
        <v>79</v>
      </c>
    </row>
    <row r="23" ht="18" customHeight="1">
      <c r="B23" s="5" t="inlineStr">
        <is>
          <t>Luis Pérez</t>
        </is>
      </c>
      <c r="C23" s="19" t="n"/>
      <c r="D23" s="7">
        <f>SUMIFS('Historias de Usuario'!$M$6:$M$128,'Historias de Usuario'!$N$6:$N$128,$B23,'Historias de Usuario'!$O$6:$O$128,"&lt;&gt;Propuesta nueva")</f>
        <v>51</v>
      </c>
      <c r="E23" s="7">
        <f>SUMIFS('Historias de Usuario'!$M$6:$M$128,'Historias de Usuario'!$N$6:$N$128,$B23,'Historias de Usuario'!$O$6:$O$128,"Propuesta nueva")</f>
        <v>11</v>
      </c>
      <c r="F23" s="7">
        <f>D23+E23</f>
        <v>62</v>
      </c>
    </row>
    <row r="24" ht="18" customHeight="1">
      <c r="B24" s="22" t="inlineStr">
        <is>
          <t>Total</t>
        </is>
      </c>
      <c r="C24" s="19" t="n"/>
      <c r="D24" s="23">
        <f>SUM(D22:D23)</f>
        <v>122</v>
      </c>
      <c r="E24" s="23">
        <f>SUM(E22:E23)</f>
        <v>19</v>
      </c>
      <c r="F24" s="23">
        <f>SUM(F22:F23)</f>
        <v>141</v>
      </c>
    </row>
    <row r="25">
      <c r="B25" s="11" t="inlineStr">
        <is>
          <t>Las historias HU-19, HU-20 y HU-21 se reparten entre ambos responsables dentro de sus épicas.</t>
        </is>
      </c>
    </row>
    <row r="28">
      <c r="B28" s="24" t="inlineStr">
        <is>
          <t>Objetivos de la Fase 1</t>
        </is>
      </c>
    </row>
    <row r="29">
      <c r="B29" s="16" t="inlineStr">
        <is>
          <t>Código</t>
        </is>
      </c>
      <c r="C29" s="16" t="inlineStr">
        <is>
          <t>Objetivo</t>
        </is>
      </c>
      <c r="D29" s="18" t="n"/>
      <c r="E29" s="18" t="n"/>
      <c r="F29" s="19" t="n"/>
    </row>
    <row r="30" ht="18" customHeight="1">
      <c r="B30" s="7" t="inlineStr">
        <is>
          <t>OE1</t>
        </is>
      </c>
      <c r="C30" s="5" t="inlineStr">
        <is>
          <t>Transacciones procesadas correctamente, error &lt; 5 % en 100 registros</t>
        </is>
      </c>
      <c r="D30" s="18" t="n"/>
      <c r="E30" s="18" t="n"/>
      <c r="F30" s="19" t="n"/>
    </row>
    <row r="31" ht="18" customHeight="1">
      <c r="B31" s="7" t="inlineStr">
        <is>
          <t>OE2</t>
        </is>
      </c>
      <c r="C31" s="5" t="inlineStr">
        <is>
          <t>≥ 90 % de exactitud factual del agente IA en 25 consultas</t>
        </is>
      </c>
      <c r="D31" s="18" t="n"/>
      <c r="E31" s="18" t="n"/>
      <c r="F31" s="19" t="n"/>
    </row>
    <row r="32" ht="18" customHeight="1">
      <c r="B32" s="7" t="inlineStr">
        <is>
          <t>OE3</t>
        </is>
      </c>
      <c r="C32" s="5" t="inlineStr">
        <is>
          <t>100 % de alertas generadas correctamente en 100 casos simulados</t>
        </is>
      </c>
      <c r="D32" s="18" t="n"/>
      <c r="E32" s="18" t="n"/>
      <c r="F32" s="19" t="n"/>
    </row>
    <row r="33" ht="18" customHeight="1">
      <c r="B33" s="7" t="inlineStr">
        <is>
          <t>OE4</t>
        </is>
      </c>
      <c r="C33" s="5" t="inlineStr">
        <is>
          <t>100 % de requisitos no funcionales críticos (seguridad, acceso, Docker)</t>
        </is>
      </c>
      <c r="D33" s="18" t="n"/>
      <c r="E33" s="18" t="n"/>
      <c r="F33" s="19" t="n"/>
    </row>
    <row r="34" ht="18" customHeight="1">
      <c r="B34" s="7" t="inlineStr">
        <is>
          <t>OG</t>
        </is>
      </c>
      <c r="C34" s="5" t="inlineStr">
        <is>
          <t>Objetivo general: cubre la reportería, que no tiene un objetivo específico medible propio</t>
        </is>
      </c>
      <c r="D34" s="18" t="n"/>
      <c r="E34" s="18" t="n"/>
      <c r="F34" s="19" t="n"/>
    </row>
  </sheetData>
  <mergeCells count="18">
    <mergeCell ref="B16:G16"/>
    <mergeCell ref="B21:C21"/>
    <mergeCell ref="B24:C24"/>
    <mergeCell ref="C31:F31"/>
    <mergeCell ref="B4:B5"/>
    <mergeCell ref="C4:C5"/>
    <mergeCell ref="F4:F5"/>
    <mergeCell ref="E4:E5"/>
    <mergeCell ref="D4:D5"/>
    <mergeCell ref="G4:J4"/>
    <mergeCell ref="C34:F34"/>
    <mergeCell ref="B23:C23"/>
    <mergeCell ref="C29:F29"/>
    <mergeCell ref="B22:C22"/>
    <mergeCell ref="C30:F30"/>
    <mergeCell ref="C33:F33"/>
    <mergeCell ref="C32:F32"/>
    <mergeCell ref="K4:L4"/>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B1:C30"/>
  <sheetViews>
    <sheetView tabSelected="0" view="normal" topLeftCell="A1" zoomScaleNormal="100" zoomScaleSheetLayoutView="100" workbookViewId="0">
      <selection activeCell="B2" sqref="B2"/>
    </sheetView>
  </sheetViews>
  <sheetFormatPr baseColWidth="10" defaultColWidth="11.453125" defaultRowHeight="14.5"/>
  <cols>
    <col width="1.54296875" customWidth="1" style="2" min="1" max="1"/>
    <col width="27.6328125" customWidth="1" style="2" min="2" max="2"/>
    <col width="86" customWidth="1" style="2" min="3" max="3"/>
    <col width="2.90625" customWidth="1" style="2" min="4" max="4"/>
    <col width="11.453125" customWidth="1" style="2" min="5" max="16384"/>
  </cols>
  <sheetData>
    <row r="1" ht="31" customHeight="1">
      <c r="B1" s="12" t="inlineStr">
        <is>
          <t>Historias de usuario y criterios de aceptación: Instructivo</t>
        </is>
      </c>
    </row>
    <row r="2" ht="21" customHeight="1">
      <c r="B2" s="17" t="inlineStr">
        <is>
          <t>Proyecto CuidaTrack · Product Backlog v2 · 1 de octubre de 2026</t>
        </is>
      </c>
    </row>
    <row r="4">
      <c r="B4" s="1" t="inlineStr">
        <is>
          <t>Columna</t>
        </is>
      </c>
      <c r="C4" s="1" t="inlineStr">
        <is>
          <t>Instrucciones</t>
        </is>
      </c>
    </row>
    <row r="5" ht="65" customHeight="1">
      <c r="B5" s="5" t="inlineStr">
        <is>
          <t>Identificador (ID) de la historia</t>
        </is>
      </c>
      <c r="C5" s="5" t="inlineStr">
        <is>
          <t>Código que identifica unívocamente a la historia en el proyecto que se esté desarrollando. El formato debe ser elegido por el equipo. En CuidaTrack el formato es HU-NN (HU-01 a HU-41): correlativo único en todo el proyecto, que se mantiene aunque la historia cambie de épica o de prioridad.</t>
        </is>
      </c>
    </row>
    <row r="6" ht="130.5" customHeight="1">
      <c r="B6" s="5" t="inlineStr">
        <is>
          <t>Rol</t>
        </is>
      </c>
      <c r="C6" s="5"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1.5" customHeight="1">
      <c r="B7" s="5" t="inlineStr">
        <is>
          <t>Característica / Funcionalidad</t>
        </is>
      </c>
      <c r="C7" s="5"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3.5" customHeight="1">
      <c r="B8" s="5" t="inlineStr">
        <is>
          <t>Razón / Resultado</t>
        </is>
      </c>
      <c r="C8" s="5"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ht="50" customHeight="1">
      <c r="B9" s="5" t="inlineStr">
        <is>
          <t>Número (#) de escenario</t>
        </is>
      </c>
      <c r="C9" s="5" t="inlineStr">
        <is>
          <t>Número (ejemplo 1, 2, 3 ó 4), que identifica al escenario asociado a la historia. En CuidaTrack cada historia tiene entre 1 y 4 escenarios; las historias fuera del MVP tienen un escenario "Por definir".</t>
        </is>
      </c>
    </row>
    <row r="10" ht="43.5" customHeight="1">
      <c r="B10" s="5" t="inlineStr">
        <is>
          <t>Criterio de aceptación (título)</t>
        </is>
      </c>
      <c r="C10" s="5" t="inlineStr">
        <is>
          <t>Describe el contexto del escenario que define un comportamiento. Por ejemplo, si se toma el ejemplo de búsquedas de productos por categoría, un posible ejemplo pudiera ser: Categoría sin productos asociados.</t>
        </is>
      </c>
    </row>
    <row r="11">
      <c r="B11" s="5" t="inlineStr">
        <is>
          <t>Contexto</t>
        </is>
      </c>
      <c r="C11" s="5" t="inlineStr">
        <is>
          <t>Proporciona mayor descripción sobre las condiciones que desencadenan el escenario.</t>
        </is>
      </c>
    </row>
    <row r="12">
      <c r="B12" s="5" t="inlineStr">
        <is>
          <t>Evento</t>
        </is>
      </c>
      <c r="C12" s="5" t="inlineStr">
        <is>
          <t>Representa la acción que el usuario ejecuta, en el contexto definido para el escenario.</t>
        </is>
      </c>
    </row>
    <row r="13" ht="29" customHeight="1">
      <c r="B13" s="5" t="inlineStr">
        <is>
          <t>Resultado / Comportamiento esperado</t>
        </is>
      </c>
      <c r="C13" s="5" t="inlineStr">
        <is>
          <t>Dado el contexto y la acción ejecutada por el usuario, la consecuencia es el comportamiento del sistema en esa situación.</t>
        </is>
      </c>
    </row>
    <row r="14" ht="35" customHeight="1">
      <c r="B14" s="5" t="inlineStr">
        <is>
          <t>Épica</t>
        </is>
      </c>
      <c r="C14" s="5" t="inlineStr">
        <is>
          <t>Código de la épica a la que pertenece la historia (E1 a E10). El nombre, el propósito y los totales de cada épica están en la pestaña Épicas. Las historias fuera del MVP no tienen épica (—).</t>
        </is>
      </c>
    </row>
    <row r="15" ht="35" customHeight="1">
      <c r="B15" s="5" t="inlineStr">
        <is>
          <t>Prioridad (MoSCoW)</t>
        </is>
      </c>
      <c r="C15" s="5" t="inlineStr">
        <is>
          <t>Must: sin esto no hay MVP. Should: importante, entra si hay capacidad. Could: deseable. Won't: fuera de esta versión. Se elige de una lista.</t>
        </is>
      </c>
    </row>
    <row r="16" ht="35" customHeight="1">
      <c r="B16" s="5" t="inlineStr">
        <is>
          <t>Puntos</t>
        </is>
      </c>
      <c r="C16" s="5" t="inlineStr">
        <is>
          <t>Estimación de esfuerzo en puntos de historia, escala Fibonacci (1, 2, 3, 5, 8). Es preliminar y se recalibra en la primera planificación de sprint. Las historias Won't no se estiman.</t>
        </is>
      </c>
    </row>
    <row r="17" ht="35" customHeight="1">
      <c r="B17" s="5" t="inlineStr">
        <is>
          <t>Responsable de desarrollo</t>
        </is>
      </c>
      <c r="C17" s="5" t="inlineStr">
        <is>
          <t>Integrante del equipo a cargo de desarrollar la historia (Bastián Ñiripil o Luis Pérez). No forma parte del enunciado: el equipo de desarrollo no es un rol de usuario.</t>
        </is>
      </c>
    </row>
    <row r="18" ht="65" customHeight="1">
      <c r="B18" s="5" t="inlineStr">
        <is>
          <t>Tipo / estado</t>
        </is>
      </c>
      <c r="C18" s="5" t="inlineStr">
        <is>
          <t>En backlog: historia de usuario del MVP. Habilitadora: necesidad solo del equipo técnico (HU-34), separada de las historias de usuario. Propuesta nueva: historia propuesta en la versión 2, pendiente de que el equipo la acepte (no suma al total del backlog). Fuera del MVP: registrada para una versión posterior.</t>
        </is>
      </c>
    </row>
    <row r="19" ht="50" customHeight="1">
      <c r="B19" s="5" t="inlineStr">
        <is>
          <t>Criterios técnicos</t>
        </is>
      </c>
      <c r="C19" s="5" t="inlineStr">
        <is>
          <t>Detalles de implementación y metas de evaluación del equipo. La persona cuidadora no los ve, pero deben cumplirse para dar la historia por terminada. Aquí también se anotan las preguntas abiertas de cada historia.</t>
        </is>
      </c>
    </row>
    <row r="22" ht="22" customHeight="1">
      <c r="B22" s="26" t="inlineStr">
        <is>
          <t>Convenciones del proyecto CuidaTrack</t>
        </is>
      </c>
    </row>
    <row r="23">
      <c r="B23" s="1" t="inlineStr">
        <is>
          <t>Tema</t>
        </is>
      </c>
      <c r="C23" s="1" t="inlineStr">
        <is>
          <t>Convención</t>
        </is>
      </c>
    </row>
    <row r="24" ht="80" customHeight="1">
      <c r="B24" s="5" t="inlineStr">
        <is>
          <t>Roles de usuario</t>
        </is>
      </c>
      <c r="C24" s="5" t="inlineStr">
        <is>
          <t>Cuidador/a principal: familiar que asume la mayor parte del cuidado en casa; crea la cuenta, registra a la persona mayor e invita al resto.
Cuidador/a secundario/a: familiar que ayuda por turnos o en días puntuales; registra solo para la persona que le compartieron.
Cuando una historia sirve a ambos, dice "cuidador/a". La persona mayor no usa la app.</t>
        </is>
      </c>
    </row>
    <row r="25" ht="50" customHeight="1">
      <c r="B25" s="5" t="inlineStr">
        <is>
          <t>Enunciado de la historia</t>
        </is>
      </c>
      <c r="C25" s="5" t="inlineStr">
        <is>
          <t>Se escribe desde la persona cuidadora y en lenguaje cotidiano ("remedio", "hora médica"). La razón es siempre un resultado concreto para ella: tranquilidad, ahorro de tiempo, evitar errores, coordinarse con la familia o cuidarse a sí misma.</t>
        </is>
      </c>
    </row>
    <row r="26" ht="35" customHeight="1">
      <c r="B26" s="5" t="inlineStr">
        <is>
          <t>Criterios de aceptación</t>
        </is>
      </c>
      <c r="C26" s="5" t="inlineStr">
        <is>
          <t>Describen lo que la persona cuidadora ve o hace, de forma verificable en una prueba con usuario. Los términos técnicos van solo en la columna Criterios técnicos.</t>
        </is>
      </c>
    </row>
    <row r="27" ht="35" customHeight="1">
      <c r="B27" s="5" t="inlineStr">
        <is>
          <t>Comentarios en celdas</t>
        </is>
      </c>
      <c r="C27" s="5" t="inlineStr">
        <is>
          <t>Las celdas con comentario marcan cambios propuestos en la versión 2 que el equipo debe confirmar: puntos de HU-02, lista de HU-14, prioridad de HU-16 y responsable de HU-19.</t>
        </is>
      </c>
    </row>
    <row r="28" ht="80" customHeight="1">
      <c r="B28" s="5" t="inlineStr">
        <is>
          <t>Preguntas abiertas</t>
        </is>
      </c>
      <c r="C28" s="5" t="inlineStr">
        <is>
          <t>Margen de la ventana horaria (HU-11). Versión de la escala de Zarit (HU-20). Quién otorga el consentimiento sobre los datos de la persona mayor (HU-03). Qué pasa con los cuidadores secundarios si el principal borra su cuenta (HU-04). A quién le llegan las alertas cuando el cuidado es compartido (HU-25). Cuánto dura la sesión abierta en el celular (HU-02). Si los avisos a la hora del remedio son factibles en la app web (HU-37).</t>
        </is>
      </c>
    </row>
    <row r="29" ht="50" customHeight="1">
      <c r="B29" s="5" t="inlineStr">
        <is>
          <t>Pestaña Épicas</t>
        </is>
      </c>
      <c r="C29" s="5" t="inlineStr">
        <is>
          <t>Agrupa las historias por épica con su propósito, objetivos de la Fase 1 y responsable. Los conteos y puntos son fórmulas: se actualizan solos al editar las columnas Épica, Prioridad, Puntos, Responsable o Tipo / estado de la pestaña Historias de Usuario.</t>
        </is>
      </c>
    </row>
    <row r="30" ht="20" customHeight="1">
      <c r="B30" s="5" t="inlineStr">
        <is>
          <t>Fuente</t>
        </is>
      </c>
      <c r="C30" s="5" t="inlineStr">
        <is>
          <t>Product Backlog v2 de CuidaTrack (1 de octubre de 2026), elaborado por Bastián Ñiripil y Luis Pérez.</t>
        </is>
      </c>
    </row>
  </sheetData>
  <pageMargins left="0.7" right="0.7" top="0.75" bottom="0.75" header="0.3" footer="0.3"/>
  <pageSetup orientation="portrait" paperSize="9" scale="68"/>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A1"/>
  <sheetViews>
    <sheetView tabSelected="0" workbookViewId="0">
      <selection activeCell="K17" sqref="K17"/>
    </sheetView>
  </sheetViews>
  <sheetFormatPr baseColWidth="10" defaultRowHeight="14.5"/>
  <sheetData/>
  <pageMargins left="0.7" right="0.7" top="0.75" bottom="0.75" header="0.3" footer="0.3"/>
  <drawing r:id="rIdImg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2026-10-01T17:40:41Z</dcterms:modified>
  <cp:lastModifiedBy>mabel herrera pino</cp:lastModifiedBy>
  <cp:lastPrinted>2012-09-30T19:04:37Z</cp:lastPrinted>
</cp:coreProperties>
</file>