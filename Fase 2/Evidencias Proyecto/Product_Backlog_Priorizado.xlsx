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duct Backlog" sheetId="1" state="visible" r:id="rId1"/>
    <sheet xmlns:r="http://schemas.openxmlformats.org/officeDocument/2006/relationships" name="Resumen y criterios" sheetId="2" state="visible" r:id="rId2"/>
  </sheets>
  <definedNames>
    <definedName name="_xlnm._FilterDatabase" localSheetId="0" hidden="1">'Product Backlog'!$B$4:$P$55</definedName>
    <definedName name="_xlnm.Print_Area" localSheetId="1">'Resumen y criterios'!$A$1:$I$46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2">
    <font>
      <name val="Calibri"/>
      <color theme="1"/>
      <sz val="11"/>
      <scheme val="minor"/>
    </font>
    <font>
      <name val="Calibri"/>
      <b val="1"/>
      <color theme="1"/>
      <sz val="24"/>
    </font>
    <font>
      <name val="Calibri"/>
      <i val="1"/>
      <color theme="1"/>
      <sz val="12"/>
    </font>
    <font>
      <name val="Calibri"/>
      <b val="1"/>
      <color theme="1"/>
      <sz val="14"/>
    </font>
    <font>
      <name val="Calibri"/>
      <b val="1"/>
      <color rgb="FFFFFFFF"/>
      <sz val="11"/>
    </font>
    <font/>
    <font>
      <name val="Calibri"/>
      <b val="1"/>
      <color theme="1"/>
      <sz val="11"/>
    </font>
    <font>
      <name val="Calibri"/>
      <color theme="1"/>
      <sz val="11"/>
    </font>
    <font>
      <name val="Calibri"/>
      <b val="1"/>
      <sz val="14"/>
    </font>
    <font>
      <name val="Calibri"/>
      <b val="1"/>
      <color rgb="00FFFFFF"/>
      <sz val="11"/>
    </font>
    <font>
      <name val="Calibri"/>
      <sz val="11"/>
    </font>
    <font>
      <name val="Calibri"/>
      <b val="1"/>
      <sz val="11"/>
    </font>
  </fonts>
  <fills count="8">
    <fill>
      <patternFill/>
    </fill>
    <fill>
      <patternFill patternType="lightGray"/>
    </fill>
    <fill>
      <patternFill patternType="solid">
        <fgColor rgb="FF1F497D"/>
        <bgColor rgb="FF1F497D"/>
      </patternFill>
    </fill>
    <fill>
      <patternFill patternType="solid">
        <fgColor rgb="FFFFFFFF"/>
        <bgColor rgb="FFFFFFFF"/>
      </patternFill>
    </fill>
    <fill>
      <patternFill patternType="solid">
        <fgColor rgb="FFFFFF00"/>
        <bgColor rgb="FFFFFF00"/>
      </patternFill>
    </fill>
    <fill>
      <patternFill patternType="solid">
        <fgColor rgb="001F497D"/>
      </patternFill>
    </fill>
    <fill>
      <patternFill patternType="solid">
        <fgColor rgb="00FFFFFF"/>
      </patternFill>
    </fill>
    <fill>
      <patternFill patternType="solid">
        <fgColor rgb="00FFFF00"/>
      </patternFill>
    </fill>
  </fills>
  <borders count="12">
    <border/>
    <border>
      <left style="thin">
        <color rgb="FF808080"/>
      </left>
      <right style="thin">
        <color rgb="FF808080"/>
      </right>
      <top style="thin">
        <color rgb="FF808080"/>
      </top>
      <bottom style="thin">
        <color rgb="FF808080"/>
      </bottom>
    </border>
    <border>
      <left style="thin">
        <color rgb="FF808080"/>
      </left>
      <top style="thin">
        <color rgb="FF808080"/>
      </top>
      <bottom style="thin">
        <color rgb="FF808080"/>
      </bottom>
    </border>
    <border>
      <right style="thin">
        <color rgb="FF808080"/>
      </right>
      <top style="thin">
        <color rgb="FF808080"/>
      </top>
      <bottom style="thin">
        <color rgb="FF808080"/>
      </bottom>
    </border>
    <border>
      <top style="thin">
        <color rgb="FF808080"/>
      </top>
      <bottom style="thin">
        <color rgb="FF808080"/>
      </bottom>
    </border>
    <border>
      <top style="thin">
        <color rgb="FF808080"/>
      </top>
    </border>
    <border>
      <right style="thin">
        <color rgb="FF808080"/>
      </right>
      <top style="thin">
        <color rgb="FF808080"/>
      </top>
    </border>
    <border>
      <left style="thin">
        <color rgb="00808080"/>
      </left>
      <right style="thin">
        <color rgb="00808080"/>
      </right>
      <top style="thin">
        <color rgb="00808080"/>
      </top>
      <bottom style="thin">
        <color rgb="00808080"/>
      </bottom>
    </border>
    <border>
      <top style="thin">
        <color rgb="00808080"/>
      </top>
    </border>
    <border>
      <right style="thin">
        <color rgb="00808080"/>
      </right>
      <top style="thin">
        <color rgb="00808080"/>
      </top>
    </border>
    <border>
      <right style="thin">
        <color rgb="00808080"/>
      </right>
      <top style="thin">
        <color rgb="00808080"/>
      </top>
      <bottom style="thin">
        <color rgb="00808080"/>
      </bottom>
    </border>
    <border>
      <top style="thin">
        <color rgb="00808080"/>
      </top>
      <bottom style="thin">
        <color rgb="00808080"/>
      </bottom>
    </border>
  </borders>
  <cellStyleXfs count="1">
    <xf numFmtId="0" fontId="0" fillId="0" borderId="0"/>
  </cellStyleXfs>
  <cellXfs count="27">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2" applyAlignment="1" pivotButton="0" quotePrefix="0" xfId="0">
      <alignment horizontal="center" vertical="center" wrapText="1"/>
    </xf>
    <xf numFmtId="0" fontId="5" fillId="0" borderId="3" pivotButton="0" quotePrefix="0" xfId="0"/>
    <xf numFmtId="0" fontId="6" fillId="3" borderId="1" applyAlignment="1" pivotButton="0" quotePrefix="0" xfId="0">
      <alignment horizontal="center" vertical="top" wrapText="1"/>
    </xf>
    <xf numFmtId="0" fontId="5" fillId="0" borderId="4" pivotButton="0" quotePrefix="0" xfId="0"/>
    <xf numFmtId="0" fontId="7" fillId="3" borderId="1" applyAlignment="1" pivotButton="0" quotePrefix="0" xfId="0">
      <alignment horizontal="center" vertical="top" wrapText="1"/>
    </xf>
    <xf numFmtId="0" fontId="7" fillId="3" borderId="1" applyAlignment="1" pivotButton="0" quotePrefix="0" xfId="0">
      <alignment horizontal="left" vertical="top" wrapText="1"/>
    </xf>
    <xf numFmtId="0" fontId="7" fillId="3" borderId="2" applyAlignment="1" pivotButton="0" quotePrefix="0" xfId="0">
      <alignment horizontal="left" vertical="top" wrapText="1"/>
    </xf>
    <xf numFmtId="0" fontId="6" fillId="4" borderId="1" applyAlignment="1" pivotButton="0" quotePrefix="0" xfId="0">
      <alignment horizontal="center" vertical="top" wrapText="1"/>
    </xf>
    <xf numFmtId="0" fontId="6" fillId="3" borderId="1" applyAlignment="1" pivotButton="0" quotePrefix="0" xfId="0">
      <alignment horizontal="left" vertical="top" wrapText="1"/>
    </xf>
    <xf numFmtId="0" fontId="6" fillId="0" borderId="0" pivotButton="0" quotePrefix="0" xfId="0"/>
    <xf numFmtId="0" fontId="7" fillId="0" borderId="0" pivotButton="0" quotePrefix="0" xfId="0"/>
    <xf numFmtId="0" fontId="0" fillId="0" borderId="0" pivotButton="0" quotePrefix="0" xfId="0"/>
    <xf numFmtId="0" fontId="8" fillId="0" borderId="0" pivotButton="0" quotePrefix="0" xfId="0"/>
    <xf numFmtId="0" fontId="9" fillId="5" borderId="7" applyAlignment="1" pivotButton="0" quotePrefix="0" xfId="0">
      <alignment horizontal="center" vertical="center" wrapText="1"/>
    </xf>
    <xf numFmtId="0" fontId="0" fillId="0" borderId="10" pivotButton="0" quotePrefix="0" xfId="0"/>
    <xf numFmtId="0" fontId="0" fillId="0" borderId="11" pivotButton="0" quotePrefix="0" xfId="0"/>
    <xf numFmtId="0" fontId="10" fillId="6" borderId="7" applyAlignment="1" pivotButton="0" quotePrefix="0" xfId="0">
      <alignment horizontal="left" vertical="top" wrapText="1"/>
    </xf>
    <xf numFmtId="0" fontId="11" fillId="7" borderId="7" applyAlignment="1" pivotButton="0" quotePrefix="0" xfId="0">
      <alignment horizontal="center" vertical="top" wrapText="1"/>
    </xf>
    <xf numFmtId="0" fontId="11" fillId="6" borderId="7" applyAlignment="1" pivotButton="0" quotePrefix="0" xfId="0">
      <alignment horizontal="left" vertical="top" wrapText="1"/>
    </xf>
    <xf numFmtId="0" fontId="10" fillId="6" borderId="7" applyAlignment="1" pivotButton="0" quotePrefix="0" xfId="0">
      <alignment horizontal="center" vertical="top" wrapText="1"/>
    </xf>
    <xf numFmtId="0" fontId="11" fillId="6" borderId="7" applyAlignment="1" pivotButton="0" quotePrefix="0" xfId="0">
      <alignment horizontal="center" vertical="top" wrapText="1"/>
    </xf>
    <xf numFmtId="165" fontId="11" fillId="7" borderId="7" applyAlignment="1" pivotButton="0" quotePrefix="0" xfId="0">
      <alignment horizontal="center" vertical="top" wrapText="1"/>
    </xf>
  </cellXfs>
  <cellStyles count="1">
    <cellStyle name="Normal" xfId="0" builtinId="0"/>
  </cellStyles>
  <dxfs count="6">
    <dxf>
      <font/>
      <fill>
        <patternFill patternType="solid">
          <fgColor rgb="FFC6E0B4"/>
          <bgColor rgb="FFC6E0B4"/>
        </patternFill>
      </fill>
      <border/>
    </dxf>
    <dxf>
      <font/>
      <fill>
        <patternFill patternType="solid">
          <fgColor rgb="FFFFE699"/>
          <bgColor rgb="FFFFE699"/>
        </patternFill>
      </fill>
      <border/>
    </dxf>
    <dxf>
      <font/>
      <fill>
        <patternFill patternType="solid">
          <fgColor rgb="FFF8CBAD"/>
          <bgColor rgb="FFF8CBAD"/>
        </patternFill>
      </fill>
      <border/>
    </dxf>
    <dxf>
      <font/>
      <fill>
        <patternFill patternType="solid">
          <fgColor rgb="FFD9D9D9"/>
          <bgColor rgb="FFD9D9D9"/>
        </patternFill>
      </fill>
      <border/>
    </dxf>
    <dxf>
      <font>
        <i val="1"/>
      </font>
      <fill>
        <patternFill patternType="solid">
          <fgColor rgb="FFDDEBF7"/>
          <bgColor rgb="FFDDEBF7"/>
        </patternFill>
      </fill>
      <border/>
    </dxf>
    <dxf>
      <font>
        <b val="1"/>
        <color rgb="FFC0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Q84"/>
  <sheetViews>
    <sheetView showGridLines="0" workbookViewId="0">
      <selection activeCell="A1" sqref="A1"/>
    </sheetView>
  </sheetViews>
  <sheetFormatPr baseColWidth="8" defaultColWidth="14.43" defaultRowHeight="15" customHeight="1"/>
  <cols>
    <col width="1.43" customWidth="1" style="16" min="1" max="1"/>
    <col width="9.710000000000001" customWidth="1" style="16" min="2" max="2"/>
    <col width="8" customWidth="1" style="16" min="3" max="3"/>
    <col width="30" customWidth="1" style="16" min="4" max="4"/>
    <col width="62" customWidth="1" style="16" min="5" max="5"/>
    <col width="24" customWidth="1" style="16" min="6" max="6"/>
    <col width="14" customWidth="1" style="16" min="7" max="7"/>
    <col width="10.71" customWidth="1" style="16" min="8" max="8"/>
    <col width="15.14" customWidth="1" style="16" min="9" max="9"/>
    <col width="15" customWidth="1" style="16" min="10" max="12"/>
    <col width="13" customWidth="1" style="16" min="11" max="11"/>
    <col width="13" customWidth="1" style="16" min="12" max="12"/>
    <col width="11.43" customWidth="1" style="16" min="13" max="13"/>
    <col width="15" customWidth="1" style="16" min="14" max="14"/>
    <col width="11" customWidth="1" style="16" min="15" max="15"/>
    <col width="46" customWidth="1" style="16" min="16" max="16"/>
    <col width="8.710000000000001" customWidth="1" style="16" min="17" max="26"/>
  </cols>
  <sheetData>
    <row r="1" ht="30.75" customHeight="1" s="16">
      <c r="B1" s="1" t="inlineStr">
        <is>
          <t>Product Backlog priorizado</t>
        </is>
      </c>
    </row>
    <row r="2">
      <c r="B2" s="2" t="inlineStr">
        <is>
          <t>Proyecto CuidaTrack · versión 3 · 8 de octubre de 2026. Una sola lista ordenada: la fila 1 es lo primero que se construye. Criterios y parámetros en la pestaña Resumen y criterios.</t>
        </is>
      </c>
    </row>
    <row r="4" ht="43.5" customHeight="1" s="16">
      <c r="B4" s="4" t="inlineStr">
        <is>
          <t>Orden</t>
        </is>
      </c>
      <c r="C4" s="4" t="inlineStr">
        <is>
          <t>ID</t>
        </is>
      </c>
      <c r="D4" s="4" t="inlineStr">
        <is>
          <t>Título</t>
        </is>
      </c>
      <c r="E4" s="4" t="inlineStr">
        <is>
          <t>Historia de usuario</t>
        </is>
      </c>
      <c r="F4" s="4" t="inlineStr">
        <is>
          <t>Épica</t>
        </is>
      </c>
      <c r="G4" s="4" t="inlineStr">
        <is>
          <t>Prioridad (MoSCoW)</t>
        </is>
      </c>
      <c r="H4" s="4" t="inlineStr">
        <is>
          <t>Puntos</t>
        </is>
      </c>
      <c r="I4" s="4" t="inlineStr">
        <is>
          <t>Puntos acumulados</t>
        </is>
      </c>
      <c r="J4" s="4" t="inlineStr">
        <is>
          <t>Sprint estimado</t>
        </is>
      </c>
      <c r="K4" s="4" t="inlineStr">
        <is>
          <t>Depende de</t>
        </is>
      </c>
      <c r="L4" s="4" t="inlineStr">
        <is>
          <t>Responsable de desarrollo</t>
        </is>
      </c>
      <c r="M4" s="4" t="inlineStr">
        <is>
          <t>Objetivo Fase 1</t>
        </is>
      </c>
      <c r="N4" s="4" t="inlineStr">
        <is>
          <t>Tipo / estado</t>
        </is>
      </c>
      <c r="O4" s="4" t="inlineStr">
        <is>
          <t>Avance</t>
        </is>
      </c>
      <c r="P4" s="4" t="inlineStr">
        <is>
          <t>Por qué va en este lugar</t>
        </is>
      </c>
    </row>
    <row r="5" ht="65" customHeight="1" s="16">
      <c r="B5" s="7" t="n">
        <v>1</v>
      </c>
      <c r="C5" s="9" t="inlineStr">
        <is>
          <t>HU-01</t>
        </is>
      </c>
      <c r="D5" s="10" t="inlineStr">
        <is>
          <t>Crear cuentas de profesionales</t>
        </is>
      </c>
      <c r="E5" s="10" t="inlineStr">
        <is>
          <t>Como administrador/a del centro asistencial, quiero crear las cuentas de los profesionales de salud de mi centro e indicar su especialidad, para que solo el personal autorizado del centro vea la información de los pacientes.</t>
        </is>
      </c>
      <c r="F5" s="10" t="inlineStr">
        <is>
          <t>E1 Acceso y roles</t>
        </is>
      </c>
      <c r="G5" s="9" t="inlineStr">
        <is>
          <t>Must</t>
        </is>
      </c>
      <c r="H5" s="9" t="n">
        <v>3</v>
      </c>
      <c r="I5" s="9">
        <f>IF(H5="","",SUM(H$5:H5))</f>
        <v>3</v>
      </c>
      <c r="J5" s="9" t="str">
        <f>IF(I5="","—",IF(I5&gt;'Resumen y criterios'!$D$6*'Resumen y criterios'!$D$7,"Sobre la capacidad","Sprint "&amp;ROUNDUP(I5/'Resumen y criterios'!$D$6,0)&amp;" (semana del "&amp;DAY('Resumen y criterios'!$D$8+7*(ROUNDUP(I5/'Resumen y criterios'!$D$6,0)-1))&amp;"/"&amp;MONTH('Resumen y criterios'!$D$8+7*(ROUNDUP(I5/'Resumen y criterios'!$D$6,0)-1))&amp;")"))</f>
        <v>Sprint 1 (semana del 12/10)</v>
      </c>
      <c r="K5" s="9" t="inlineStr">
        <is>
          <t>—</t>
        </is>
      </c>
      <c r="L5" s="10" t="inlineStr">
        <is>
          <t>Bastián Ñiripil</t>
        </is>
      </c>
      <c r="M5" s="9" t="inlineStr">
        <is>
          <t>OE6</t>
        </is>
      </c>
      <c r="N5" s="10" t="inlineStr">
        <is>
          <t>En backlog</t>
        </is>
      </c>
      <c r="O5" s="9" t="inlineStr">
        <is>
          <t>Por hacer</t>
        </is>
      </c>
      <c r="P5" s="10" t="inlineStr">
        <is>
          <t>Punto de partida: sin cuentas del personal no hay acceso ni datos.</t>
        </is>
      </c>
    </row>
    <row r="6" ht="65" customHeight="1" s="16">
      <c r="B6" s="7" t="n">
        <v>2</v>
      </c>
      <c r="C6" s="9" t="inlineStr">
        <is>
          <t>HU-02</t>
        </is>
      </c>
      <c r="D6" s="10" t="inlineStr">
        <is>
          <t>Ingresar y recuperar la contraseña</t>
        </is>
      </c>
      <c r="E6" s="10" t="inlineStr">
        <is>
          <t>Como usuario/a de la plataforma (profesional de salud o cuidador/a), quiero entrar con mi correo y contraseña, y recuperarla si la olvido, para acceder a la información de mis pacientes cuando la necesito, sin depender de otra persona.</t>
        </is>
      </c>
      <c r="F6" s="10" t="inlineStr">
        <is>
          <t>E1 Acceso y roles</t>
        </is>
      </c>
      <c r="G6" s="9" t="inlineStr">
        <is>
          <t>Must</t>
        </is>
      </c>
      <c r="H6" s="9" t="n">
        <v>3</v>
      </c>
      <c r="I6" s="9">
        <f>IF(H6="","",SUM(H$5:H6))</f>
        <v>6</v>
      </c>
      <c r="J6" s="9" t="str">
        <f>IF(I6="","—",IF(I6&gt;'Resumen y criterios'!$D$6*'Resumen y criterios'!$D$7,"Sobre la capacidad","Sprint "&amp;ROUNDUP(I6/'Resumen y criterios'!$D$6,0)&amp;" (semana del "&amp;DAY('Resumen y criterios'!$D$8+7*(ROUNDUP(I6/'Resumen y criterios'!$D$6,0)-1))&amp;"/"&amp;MONTH('Resumen y criterios'!$D$8+7*(ROUNDUP(I6/'Resumen y criterios'!$D$6,0)-1))&amp;")"))</f>
        <v>Sprint 1 (semana del 12/10)</v>
      </c>
      <c r="K6" s="9" t="inlineStr">
        <is>
          <t>HU-01</t>
        </is>
      </c>
      <c r="L6" s="10" t="inlineStr">
        <is>
          <t>Bastián Ñiripil</t>
        </is>
      </c>
      <c r="M6" s="9" t="inlineStr">
        <is>
          <t>OE6</t>
        </is>
      </c>
      <c r="N6" s="10" t="inlineStr">
        <is>
          <t>En backlog</t>
        </is>
      </c>
      <c r="O6" s="9" t="inlineStr">
        <is>
          <t>Por hacer</t>
        </is>
      </c>
      <c r="P6" s="10" t="inlineStr">
        <is>
          <t>Todos los roles la necesitan para usar la plataforma.</t>
        </is>
      </c>
    </row>
    <row r="7" ht="50" customHeight="1" s="16">
      <c r="B7" s="7" t="n">
        <v>3</v>
      </c>
      <c r="C7" s="9" t="inlineStr">
        <is>
          <t>HU-08</t>
        </is>
      </c>
      <c r="D7" s="10" t="inlineStr">
        <is>
          <t>Registrar paciente dependiente</t>
        </is>
      </c>
      <c r="E7" s="10" t="inlineStr">
        <is>
          <t>Como profesional de salud del centro, quiero registrar a un paciente dependiente con sus datos básicos, su nivel de dependencia y su especialidad tratante, para comenzar su seguimiento entre controles.</t>
        </is>
      </c>
      <c r="F7" s="10" t="inlineStr">
        <is>
          <t>E2 Pacientes y planes de cuidado</t>
        </is>
      </c>
      <c r="G7" s="9" t="inlineStr">
        <is>
          <t>Must</t>
        </is>
      </c>
      <c r="H7" s="9" t="n">
        <v>3</v>
      </c>
      <c r="I7" s="9">
        <f>IF(H7="","",SUM(H$5:H7))</f>
        <v>9</v>
      </c>
      <c r="J7" s="9" t="str">
        <f>IF(I7="","—",IF(I7&gt;'Resumen y criterios'!$D$6*'Resumen y criterios'!$D$7,"Sobre la capacidad","Sprint "&amp;ROUNDUP(I7/'Resumen y criterios'!$D$6,0)&amp;" (semana del "&amp;DAY('Resumen y criterios'!$D$8+7*(ROUNDUP(I7/'Resumen y criterios'!$D$6,0)-1))&amp;"/"&amp;MONTH('Resumen y criterios'!$D$8+7*(ROUNDUP(I7/'Resumen y criterios'!$D$6,0)-1))&amp;")"))</f>
        <v>Sprint 1 (semana del 12/10)</v>
      </c>
      <c r="K7" s="9" t="inlineStr">
        <is>
          <t>HU-02</t>
        </is>
      </c>
      <c r="L7" s="10" t="inlineStr">
        <is>
          <t>Bastián Ñiripil</t>
        </is>
      </c>
      <c r="M7" s="9" t="inlineStr">
        <is>
          <t>OE1</t>
        </is>
      </c>
      <c r="N7" s="10" t="inlineStr">
        <is>
          <t>En backlog</t>
        </is>
      </c>
      <c r="O7" s="9" t="inlineStr">
        <is>
          <t>Por hacer</t>
        </is>
      </c>
      <c r="P7" s="10" t="inlineStr">
        <is>
          <t>El paciente es el centro: todo lo demás se registra sobre él.</t>
        </is>
      </c>
    </row>
    <row r="8" ht="65" customHeight="1" s="16">
      <c r="B8" s="7" t="n">
        <v>4</v>
      </c>
      <c r="C8" s="9" t="inlineStr">
        <is>
          <t>HU-11</t>
        </is>
      </c>
      <c r="D8" s="10" t="inlineStr">
        <is>
          <t>Consentimiento del paciente o su representante</t>
        </is>
      </c>
      <c r="E8" s="10" t="inlineStr">
        <is>
          <t>Como profesional de salud del centro, quiero registrar el consentimiento del paciente o de su representante legal antes de iniciar el seguimiento, para cumplir la normativa y respaldar el uso de sus datos de salud.</t>
        </is>
      </c>
      <c r="F8" s="10" t="inlineStr">
        <is>
          <t>E2 Pacientes y planes de cuidado</t>
        </is>
      </c>
      <c r="G8" s="9" t="inlineStr">
        <is>
          <t>Must</t>
        </is>
      </c>
      <c r="H8" s="9" t="n">
        <v>2</v>
      </c>
      <c r="I8" s="9">
        <f>IF(H8="","",SUM(H$5:H8))</f>
        <v>11</v>
      </c>
      <c r="J8" s="9" t="str">
        <f>IF(I8="","—",IF(I8&gt;'Resumen y criterios'!$D$6*'Resumen y criterios'!$D$7,"Sobre la capacidad","Sprint "&amp;ROUNDUP(I8/'Resumen y criterios'!$D$6,0)&amp;" (semana del "&amp;DAY('Resumen y criterios'!$D$8+7*(ROUNDUP(I8/'Resumen y criterios'!$D$6,0)-1))&amp;"/"&amp;MONTH('Resumen y criterios'!$D$8+7*(ROUNDUP(I8/'Resumen y criterios'!$D$6,0)-1))&amp;")"))</f>
        <v>Sprint 1 (semana del 12/10)</v>
      </c>
      <c r="K8" s="9" t="inlineStr">
        <is>
          <t>HU-08</t>
        </is>
      </c>
      <c r="L8" s="10" t="inlineStr">
        <is>
          <t>Bastián Ñiripil</t>
        </is>
      </c>
      <c r="M8" s="9" t="inlineStr">
        <is>
          <t>OE6</t>
        </is>
      </c>
      <c r="N8" s="10" t="inlineStr">
        <is>
          <t>En backlog</t>
        </is>
      </c>
      <c r="O8" s="9" t="inlineStr">
        <is>
          <t>Por hacer</t>
        </is>
      </c>
      <c r="P8" s="10" t="inlineStr">
        <is>
          <t>Requisito legal antes de recibir datos de salud (Leyes 20.584 y 21.719).</t>
        </is>
      </c>
    </row>
    <row r="9" ht="80" customHeight="1" s="16">
      <c r="B9" s="7" t="n">
        <v>5</v>
      </c>
      <c r="C9" s="9" t="inlineStr">
        <is>
          <t>HU-10</t>
        </is>
      </c>
      <c r="D9" s="10" t="inlineStr">
        <is>
          <t>Plantillas de plan de cuidado por especialidad</t>
        </is>
      </c>
      <c r="E9" s="10" t="inlineStr">
        <is>
          <t>Como administrador/a del centro asistencial, quiero crear y editar plantillas de plan de cuidado por especialidad, indicando qué registrar, cada cuánto y con qué umbrales de alerta, para incorporar nuevas especialidades sin depender del equipo que desarrolló la plataforma.</t>
        </is>
      </c>
      <c r="F9" s="10" t="inlineStr">
        <is>
          <t>E2 Pacientes y planes de cuidado</t>
        </is>
      </c>
      <c r="G9" s="9" t="inlineStr">
        <is>
          <t>Must</t>
        </is>
      </c>
      <c r="H9" s="9" t="n">
        <v>5</v>
      </c>
      <c r="I9" s="9">
        <f>IF(H9="","",SUM(H$5:H9))</f>
        <v>16</v>
      </c>
      <c r="J9" s="9" t="str">
        <f>IF(I9="","—",IF(I9&gt;'Resumen y criterios'!$D$6*'Resumen y criterios'!$D$7,"Sobre la capacidad","Sprint "&amp;ROUNDUP(I9/'Resumen y criterios'!$D$6,0)&amp;" (semana del "&amp;DAY('Resumen y criterios'!$D$8+7*(ROUNDUP(I9/'Resumen y criterios'!$D$6,0)-1))&amp;"/"&amp;MONTH('Resumen y criterios'!$D$8+7*(ROUNDUP(I9/'Resumen y criterios'!$D$6,0)-1))&amp;")"))</f>
        <v>Sprint 1 (semana del 12/10)</v>
      </c>
      <c r="K9" s="9" t="inlineStr">
        <is>
          <t>HU-01</t>
        </is>
      </c>
      <c r="L9" s="10" t="inlineStr">
        <is>
          <t>Bastián Ñiripil</t>
        </is>
      </c>
      <c r="M9" s="9" t="inlineStr">
        <is>
          <t>OE6</t>
        </is>
      </c>
      <c r="N9" s="10" t="inlineStr">
        <is>
          <t>En backlog</t>
        </is>
      </c>
      <c r="O9" s="9" t="inlineStr">
        <is>
          <t>Por hacer</t>
        </is>
      </c>
      <c r="P9" s="10" t="inlineStr">
        <is>
          <t>Define qué registrar y con qué umbrales; base de las alertas y de la escalabilidad por especialidad.</t>
        </is>
      </c>
    </row>
    <row r="10" ht="65" customHeight="1" s="16">
      <c r="B10" s="7" t="n">
        <v>6</v>
      </c>
      <c r="C10" s="9" t="inlineStr">
        <is>
          <t>HU-09</t>
        </is>
      </c>
      <c r="D10" s="10" t="inlineStr">
        <is>
          <t>Asignar plan de cuidado al paciente</t>
        </is>
      </c>
      <c r="E10" s="10" t="inlineStr">
        <is>
          <t>Como profesional de salud del centro, quiero asignar a cada paciente un plan de cuidado de su especialidad y ajustar sus umbrales si su caso lo requiere, para recibir justo la información que necesito para controlarlo.</t>
        </is>
      </c>
      <c r="F10" s="10" t="inlineStr">
        <is>
          <t>E2 Pacientes y planes de cuidado</t>
        </is>
      </c>
      <c r="G10" s="9" t="inlineStr">
        <is>
          <t>Must</t>
        </is>
      </c>
      <c r="H10" s="9" t="n">
        <v>5</v>
      </c>
      <c r="I10" s="9">
        <f>IF(H10="","",SUM(H$5:H10))</f>
        <v>21</v>
      </c>
      <c r="J10" s="9" t="str">
        <f>IF(I10="","—",IF(I10&gt;'Resumen y criterios'!$D$6*'Resumen y criterios'!$D$7,"Sobre la capacidad","Sprint "&amp;ROUNDUP(I10/'Resumen y criterios'!$D$6,0)&amp;" (semana del "&amp;DAY('Resumen y criterios'!$D$8+7*(ROUNDUP(I10/'Resumen y criterios'!$D$6,0)-1))&amp;"/"&amp;MONTH('Resumen y criterios'!$D$8+7*(ROUNDUP(I10/'Resumen y criterios'!$D$6,0)-1))&amp;")"))</f>
        <v>Sprint 2 (semana del 19/10)</v>
      </c>
      <c r="K10" s="9" t="inlineStr">
        <is>
          <t>HU-08, HU-10</t>
        </is>
      </c>
      <c r="L10" s="10" t="inlineStr">
        <is>
          <t>Bastián Ñiripil</t>
        </is>
      </c>
      <c r="M10" s="9" t="inlineStr">
        <is>
          <t>OE3</t>
        </is>
      </c>
      <c r="N10" s="10" t="inlineStr">
        <is>
          <t>En backlog</t>
        </is>
      </c>
      <c r="O10" s="9" t="inlineStr">
        <is>
          <t>Por hacer</t>
        </is>
      </c>
      <c r="P10" s="10" t="inlineStr">
        <is>
          <t>Sin plan asignado el cuidador no sabe qué registrar ni hay umbrales para alertar.</t>
        </is>
      </c>
    </row>
    <row r="11" ht="50" customHeight="1" s="16">
      <c r="B11" s="7" t="n">
        <v>7</v>
      </c>
      <c r="C11" s="9" t="inlineStr">
        <is>
          <t>HU-12</t>
        </is>
      </c>
      <c r="D11" s="10" t="inlineStr">
        <is>
          <t>Medicamentos indicados</t>
        </is>
      </c>
      <c r="E11" s="10" t="inlineStr">
        <is>
          <t>Como profesional de salud del centro, quiero registrar los medicamentos indicados al paciente con su dosis y horario, para que el cuidador sepa qué administrar y yo pueda ver si el tratamiento se cumple.</t>
        </is>
      </c>
      <c r="F11" s="10" t="inlineStr">
        <is>
          <t>E2 Pacientes y planes de cuidado</t>
        </is>
      </c>
      <c r="G11" s="9" t="inlineStr">
        <is>
          <t>Must</t>
        </is>
      </c>
      <c r="H11" s="9" t="n">
        <v>3</v>
      </c>
      <c r="I11" s="9">
        <f>IF(H11="","",SUM(H$5:H11))</f>
        <v>24</v>
      </c>
      <c r="J11" s="9" t="str">
        <f>IF(I11="","—",IF(I11&gt;'Resumen y criterios'!$D$6*'Resumen y criterios'!$D$7,"Sobre la capacidad","Sprint "&amp;ROUNDUP(I11/'Resumen y criterios'!$D$6,0)&amp;" (semana del "&amp;DAY('Resumen y criterios'!$D$8+7*(ROUNDUP(I11/'Resumen y criterios'!$D$6,0)-1))&amp;"/"&amp;MONTH('Resumen y criterios'!$D$8+7*(ROUNDUP(I11/'Resumen y criterios'!$D$6,0)-1))&amp;")"))</f>
        <v>Sprint 2 (semana del 19/10)</v>
      </c>
      <c r="K11" s="9" t="inlineStr">
        <is>
          <t>HU-08</t>
        </is>
      </c>
      <c r="L11" s="10" t="inlineStr">
        <is>
          <t>Bastián Ñiripil</t>
        </is>
      </c>
      <c r="M11" s="9" t="inlineStr">
        <is>
          <t>OE1</t>
        </is>
      </c>
      <c r="N11" s="10" t="inlineStr">
        <is>
          <t>En backlog</t>
        </is>
      </c>
      <c r="O11" s="9" t="inlineStr">
        <is>
          <t>Por hacer</t>
        </is>
      </c>
      <c r="P11" s="10" t="inlineStr">
        <is>
          <t>Genera las dosis esperadas que se usan para detectar omisiones.</t>
        </is>
      </c>
    </row>
    <row r="12" ht="65" customHeight="1" s="16">
      <c r="B12" s="7" t="n">
        <v>8</v>
      </c>
      <c r="C12" s="9" t="inlineStr">
        <is>
          <t>HU-04</t>
        </is>
      </c>
      <c r="D12" s="10" t="inlineStr">
        <is>
          <t>Asignar cuidador principal</t>
        </is>
      </c>
      <c r="E12" s="10" t="inlineStr">
        <is>
          <t>Como profesional de salud del centro, quiero asignar un cuidador principal a cada paciente, invitándolo a la plataforma, para tener una persona responsable de informar lo que pasa con el paciente fuera del centro.</t>
        </is>
      </c>
      <c r="F12" s="10" t="inlineStr">
        <is>
          <t>E1 Acceso y roles</t>
        </is>
      </c>
      <c r="G12" s="9" t="inlineStr">
        <is>
          <t>Must</t>
        </is>
      </c>
      <c r="H12" s="9" t="n">
        <v>3</v>
      </c>
      <c r="I12" s="9">
        <f>IF(H12="","",SUM(H$5:H12))</f>
        <v>27</v>
      </c>
      <c r="J12" s="9" t="str">
        <f>IF(I12="","—",IF(I12&gt;'Resumen y criterios'!$D$6*'Resumen y criterios'!$D$7,"Sobre la capacidad","Sprint "&amp;ROUNDUP(I12/'Resumen y criterios'!$D$6,0)&amp;" (semana del "&amp;DAY('Resumen y criterios'!$D$8+7*(ROUNDUP(I12/'Resumen y criterios'!$D$6,0)-1))&amp;"/"&amp;MONTH('Resumen y criterios'!$D$8+7*(ROUNDUP(I12/'Resumen y criterios'!$D$6,0)-1))&amp;")"))</f>
        <v>Sprint 2 (semana del 19/10)</v>
      </c>
      <c r="K12" s="9" t="inlineStr">
        <is>
          <t>HU-09, HU-11</t>
        </is>
      </c>
      <c r="L12" s="10" t="inlineStr">
        <is>
          <t>Bastián Ñiripil</t>
        </is>
      </c>
      <c r="M12" s="9" t="inlineStr">
        <is>
          <t>OE2</t>
        </is>
      </c>
      <c r="N12" s="10" t="inlineStr">
        <is>
          <t>En backlog</t>
        </is>
      </c>
      <c r="O12" s="9" t="inlineStr">
        <is>
          <t>Por hacer</t>
        </is>
      </c>
      <c r="P12" s="10" t="inlineStr">
        <is>
          <t>Habilita el registro desde el entorno del paciente; requiere consentimiento y plan.</t>
        </is>
      </c>
    </row>
    <row r="13" ht="65" customHeight="1" s="16">
      <c r="B13" s="7" t="n">
        <v>9</v>
      </c>
      <c r="C13" s="9" t="inlineStr">
        <is>
          <t>HU-24</t>
        </is>
      </c>
      <c r="D13" s="10" t="inlineStr">
        <is>
          <t>Panel de pacientes del centro</t>
        </is>
      </c>
      <c r="E13" s="10" t="inlineStr">
        <is>
          <t>Como profesional de salud del centro, quiero ver un panel con todos mis pacientes dependientes, su especialidad, su nivel de riesgo, sus alertas abiertas y su próximo control, para saber de un vistazo cómo están mis pacientes.</t>
        </is>
      </c>
      <c r="F13" s="10" t="inlineStr">
        <is>
          <t>E4 Panel del centro y ficha de seguimiento</t>
        </is>
      </c>
      <c r="G13" s="9" t="inlineStr">
        <is>
          <t>Must</t>
        </is>
      </c>
      <c r="H13" s="9" t="n">
        <v>5</v>
      </c>
      <c r="I13" s="9">
        <f>IF(H13="","",SUM(H$5:H13))</f>
        <v>32</v>
      </c>
      <c r="J13" s="9" t="str">
        <f>IF(I13="","—",IF(I13&gt;'Resumen y criterios'!$D$6*'Resumen y criterios'!$D$7,"Sobre la capacidad","Sprint "&amp;ROUNDUP(I13/'Resumen y criterios'!$D$6,0)&amp;" (semana del "&amp;DAY('Resumen y criterios'!$D$8+7*(ROUNDUP(I13/'Resumen y criterios'!$D$6,0)-1))&amp;"/"&amp;MONTH('Resumen y criterios'!$D$8+7*(ROUNDUP(I13/'Resumen y criterios'!$D$6,0)-1))&amp;")"))</f>
        <v>Sprint 2 (semana del 19/10)</v>
      </c>
      <c r="K13" s="9" t="inlineStr">
        <is>
          <t>HU-08</t>
        </is>
      </c>
      <c r="L13" s="10" t="inlineStr">
        <is>
          <t>Luis Pérez</t>
        </is>
      </c>
      <c r="M13" s="9" t="inlineStr">
        <is>
          <t>OE1</t>
        </is>
      </c>
      <c r="N13" s="10" t="inlineStr">
        <is>
          <t>En backlog</t>
        </is>
      </c>
      <c r="O13" s="9" t="inlineStr">
        <is>
          <t>Por hacer</t>
        </is>
      </c>
      <c r="P13" s="10" t="inlineStr">
        <is>
          <t>Pantalla principal del profesional; Luis puede avanzarla en paralelo al registro.</t>
        </is>
      </c>
    </row>
    <row r="14" ht="50" customHeight="1" s="16">
      <c r="B14" s="7" t="n">
        <v>10</v>
      </c>
      <c r="C14" s="9" t="inlineStr">
        <is>
          <t>HU-16</t>
        </is>
      </c>
      <c r="D14" s="10" t="inlineStr">
        <is>
          <t>Ver qué registrar hoy</t>
        </is>
      </c>
      <c r="E14" s="10" t="inlineStr">
        <is>
          <t>Como cuidador/a, quiero ver al abrir la aplicación qué debo registrar hoy del paciente, para no olvidar ningún control ni medicamento que me pidió el equipo de salud.</t>
        </is>
      </c>
      <c r="F14" s="10" t="inlineStr">
        <is>
          <t>E3 Registro del cuidador</t>
        </is>
      </c>
      <c r="G14" s="9" t="inlineStr">
        <is>
          <t>Must</t>
        </is>
      </c>
      <c r="H14" s="9" t="n">
        <v>3</v>
      </c>
      <c r="I14" s="9">
        <f>IF(H14="","",SUM(H$5:H14))</f>
        <v>35</v>
      </c>
      <c r="J14" s="9" t="str">
        <f>IF(I14="","—",IF(I14&gt;'Resumen y criterios'!$D$6*'Resumen y criterios'!$D$7,"Sobre la capacidad","Sprint "&amp;ROUNDUP(I14/'Resumen y criterios'!$D$6,0)&amp;" (semana del "&amp;DAY('Resumen y criterios'!$D$8+7*(ROUNDUP(I14/'Resumen y criterios'!$D$6,0)-1))&amp;"/"&amp;MONTH('Resumen y criterios'!$D$8+7*(ROUNDUP(I14/'Resumen y criterios'!$D$6,0)-1))&amp;")"))</f>
        <v>Sprint 2 (semana del 19/10)</v>
      </c>
      <c r="K14" s="9" t="inlineStr">
        <is>
          <t>HU-04, HU-09, HU-12</t>
        </is>
      </c>
      <c r="L14" s="10" t="inlineStr">
        <is>
          <t>Bastián Ñiripil</t>
        </is>
      </c>
      <c r="M14" s="9" t="inlineStr">
        <is>
          <t>OE2</t>
        </is>
      </c>
      <c r="N14" s="10" t="inlineStr">
        <is>
          <t>En backlog</t>
        </is>
      </c>
      <c r="O14" s="9" t="inlineStr">
        <is>
          <t>Por hacer</t>
        </is>
      </c>
      <c r="P14" s="10" t="inlineStr">
        <is>
          <t>Pantalla de inicio del cuidador; guía todos sus registros.</t>
        </is>
      </c>
    </row>
    <row r="15" ht="50" customHeight="1" s="16">
      <c r="B15" s="7" t="n">
        <v>11</v>
      </c>
      <c r="C15" s="9" t="inlineStr">
        <is>
          <t>HU-17</t>
        </is>
      </c>
      <c r="D15" s="10" t="inlineStr">
        <is>
          <t>Registrar signos en pocos toques</t>
        </is>
      </c>
      <c r="E15" s="10" t="inlineStr">
        <is>
          <t>Como cuidador/a, quiero registrar signos como la presión, la glicemia, el peso o la saturación en pocos toques, para cumplir lo que me pidió el equipo de salud sin perder tiempo.</t>
        </is>
      </c>
      <c r="F15" s="10" t="inlineStr">
        <is>
          <t>E3 Registro del cuidador</t>
        </is>
      </c>
      <c r="G15" s="9" t="inlineStr">
        <is>
          <t>Must</t>
        </is>
      </c>
      <c r="H15" s="9" t="n">
        <v>5</v>
      </c>
      <c r="I15" s="9">
        <f>IF(H15="","",SUM(H$5:H15))</f>
        <v>40</v>
      </c>
      <c r="J15" s="9" t="str">
        <f>IF(I15="","—",IF(I15&gt;'Resumen y criterios'!$D$6*'Resumen y criterios'!$D$7,"Sobre la capacidad","Sprint "&amp;ROUNDUP(I15/'Resumen y criterios'!$D$6,0)&amp;" (semana del "&amp;DAY('Resumen y criterios'!$D$8+7*(ROUNDUP(I15/'Resumen y criterios'!$D$6,0)-1))&amp;"/"&amp;MONTH('Resumen y criterios'!$D$8+7*(ROUNDUP(I15/'Resumen y criterios'!$D$6,0)-1))&amp;")"))</f>
        <v>Sprint 3 (semana del 26/10)</v>
      </c>
      <c r="K15" s="9" t="inlineStr">
        <is>
          <t>HU-16</t>
        </is>
      </c>
      <c r="L15" s="10" t="inlineStr">
        <is>
          <t>Bastián Ñiripil</t>
        </is>
      </c>
      <c r="M15" s="9" t="inlineStr">
        <is>
          <t>OE2</t>
        </is>
      </c>
      <c r="N15" s="10" t="inlineStr">
        <is>
          <t>En backlog</t>
        </is>
      </c>
      <c r="O15" s="9" t="inlineStr">
        <is>
          <t>Por hacer</t>
        </is>
      </c>
      <c r="P15" s="10" t="inlineStr">
        <is>
          <t>Registro más frecuente; se mide con él la meta de menos de 1 minuto (OE2).</t>
        </is>
      </c>
    </row>
    <row r="16" ht="50" customHeight="1" s="16">
      <c r="B16" s="7" t="n">
        <v>12</v>
      </c>
      <c r="C16" s="9" t="inlineStr">
        <is>
          <t>HU-18</t>
        </is>
      </c>
      <c r="D16" s="10" t="inlineStr">
        <is>
          <t>Marcar medicamentos dados u omitidos</t>
        </is>
      </c>
      <c r="E16" s="10" t="inlineStr">
        <is>
          <t>Como cuidador/a, quiero marcar cada medicamento como administrado u omitido, indicando el motivo si no se dio, para que el equipo de salud sepa si el tratamiento se está cumpliendo.</t>
        </is>
      </c>
      <c r="F16" s="10" t="inlineStr">
        <is>
          <t>E3 Registro del cuidador</t>
        </is>
      </c>
      <c r="G16" s="9" t="inlineStr">
        <is>
          <t>Must</t>
        </is>
      </c>
      <c r="H16" s="9" t="n">
        <v>3</v>
      </c>
      <c r="I16" s="9">
        <f>IF(H16="","",SUM(H$5:H16))</f>
        <v>43</v>
      </c>
      <c r="J16" s="9" t="str">
        <f>IF(I16="","—",IF(I16&gt;'Resumen y criterios'!$D$6*'Resumen y criterios'!$D$7,"Sobre la capacidad","Sprint "&amp;ROUNDUP(I16/'Resumen y criterios'!$D$6,0)&amp;" (semana del "&amp;DAY('Resumen y criterios'!$D$8+7*(ROUNDUP(I16/'Resumen y criterios'!$D$6,0)-1))&amp;"/"&amp;MONTH('Resumen y criterios'!$D$8+7*(ROUNDUP(I16/'Resumen y criterios'!$D$6,0)-1))&amp;")"))</f>
        <v>Sprint 3 (semana del 26/10)</v>
      </c>
      <c r="K16" s="9" t="inlineStr">
        <is>
          <t>HU-12, HU-16</t>
        </is>
      </c>
      <c r="L16" s="10" t="inlineStr">
        <is>
          <t>Bastián Ñiripil</t>
        </is>
      </c>
      <c r="M16" s="9" t="inlineStr">
        <is>
          <t>OE2</t>
        </is>
      </c>
      <c r="N16" s="10" t="inlineStr">
        <is>
          <t>En backlog</t>
        </is>
      </c>
      <c r="O16" s="9" t="inlineStr">
        <is>
          <t>Por hacer</t>
        </is>
      </c>
      <c r="P16" s="10" t="inlineStr">
        <is>
          <t>Alimenta las alertas por dosis omitidas y el nivel de riesgo.</t>
        </is>
      </c>
    </row>
    <row r="17" ht="65" customHeight="1" s="16">
      <c r="B17" s="7" t="n">
        <v>13</v>
      </c>
      <c r="C17" s="9" t="inlineStr">
        <is>
          <t>HU-25</t>
        </is>
      </c>
      <c r="D17" s="10" t="inlineStr">
        <is>
          <t>Ficha de seguimiento del paciente</t>
        </is>
      </c>
      <c r="E17" s="10" t="inlineStr">
        <is>
          <t>Como profesional de salud del centro, quiero ver la ficha de seguimiento de un paciente con todo lo que registraron sus cuidadores, en orden cronológico, para saber qué pasó entre controles antes de atenderlo.</t>
        </is>
      </c>
      <c r="F17" s="10" t="inlineStr">
        <is>
          <t>E4 Panel del centro y ficha de seguimiento</t>
        </is>
      </c>
      <c r="G17" s="9" t="inlineStr">
        <is>
          <t>Must</t>
        </is>
      </c>
      <c r="H17" s="9" t="n">
        <v>5</v>
      </c>
      <c r="I17" s="9">
        <f>IF(H17="","",SUM(H$5:H17))</f>
        <v>48</v>
      </c>
      <c r="J17" s="9" t="str">
        <f>IF(I17="","—",IF(I17&gt;'Resumen y criterios'!$D$6*'Resumen y criterios'!$D$7,"Sobre la capacidad","Sprint "&amp;ROUNDUP(I17/'Resumen y criterios'!$D$6,0)&amp;" (semana del "&amp;DAY('Resumen y criterios'!$D$8+7*(ROUNDUP(I17/'Resumen y criterios'!$D$6,0)-1))&amp;"/"&amp;MONTH('Resumen y criterios'!$D$8+7*(ROUNDUP(I17/'Resumen y criterios'!$D$6,0)-1))&amp;")"))</f>
        <v>Sprint 3 (semana del 26/10)</v>
      </c>
      <c r="K17" s="9" t="inlineStr">
        <is>
          <t>HU-17, HU-18, HU-24</t>
        </is>
      </c>
      <c r="L17" s="10" t="inlineStr">
        <is>
          <t>Luis Pérez</t>
        </is>
      </c>
      <c r="M17" s="9" t="inlineStr">
        <is>
          <t>OE1</t>
        </is>
      </c>
      <c r="N17" s="10" t="inlineStr">
        <is>
          <t>En backlog</t>
        </is>
      </c>
      <c r="O17" s="9" t="inlineStr">
        <is>
          <t>Por hacer</t>
        </is>
      </c>
      <c r="P17" s="10" t="inlineStr">
        <is>
          <t>Pone lo registrado a disposición del centro; con ella se mide el OE1.</t>
        </is>
      </c>
    </row>
    <row r="18" ht="50" customHeight="1" s="16">
      <c r="B18" s="7" t="n">
        <v>14</v>
      </c>
      <c r="C18" s="9" t="inlineStr">
        <is>
          <t>HU-32</t>
        </is>
      </c>
      <c r="D18" s="10" t="inlineStr">
        <is>
          <t>Alerta por umbral superado</t>
        </is>
      </c>
      <c r="E18" s="10" t="inlineStr">
        <is>
          <t>Como profesional de salud del centro, quiero recibir una alerta cuando un registro del cuidador supera los umbrales del plan del paciente, para actuar antes de la próxima cita, sin esperar a ella.</t>
        </is>
      </c>
      <c r="F18" s="10" t="inlineStr">
        <is>
          <t>E5 Alertas clínicas</t>
        </is>
      </c>
      <c r="G18" s="9" t="inlineStr">
        <is>
          <t>Must</t>
        </is>
      </c>
      <c r="H18" s="9" t="n">
        <v>5</v>
      </c>
      <c r="I18" s="9">
        <f>IF(H18="","",SUM(H$5:H18))</f>
        <v>53</v>
      </c>
      <c r="J18" s="9" t="str">
        <f>IF(I18="","—",IF(I18&gt;'Resumen y criterios'!$D$6*'Resumen y criterios'!$D$7,"Sobre la capacidad","Sprint "&amp;ROUNDUP(I18/'Resumen y criterios'!$D$6,0)&amp;" (semana del "&amp;DAY('Resumen y criterios'!$D$8+7*(ROUNDUP(I18/'Resumen y criterios'!$D$6,0)-1))&amp;"/"&amp;MONTH('Resumen y criterios'!$D$8+7*(ROUNDUP(I18/'Resumen y criterios'!$D$6,0)-1))&amp;")"))</f>
        <v>Sprint 3 (semana del 26/10)</v>
      </c>
      <c r="K18" s="9" t="inlineStr">
        <is>
          <t>HU-09, HU-17</t>
        </is>
      </c>
      <c r="L18" s="10" t="inlineStr">
        <is>
          <t>Luis Pérez</t>
        </is>
      </c>
      <c r="M18" s="9" t="inlineStr">
        <is>
          <t>OE3</t>
        </is>
      </c>
      <c r="N18" s="10" t="inlineStr">
        <is>
          <t>En backlog</t>
        </is>
      </c>
      <c r="O18" s="9" t="inlineStr">
        <is>
          <t>Por hacer</t>
        </is>
      </c>
      <c r="P18" s="10" t="inlineStr">
        <is>
          <t>Alerta principal del proyecto; con ella se mide el OE3.</t>
        </is>
      </c>
    </row>
    <row r="19" ht="50" customHeight="1" s="16">
      <c r="B19" s="7" t="n">
        <v>15</v>
      </c>
      <c r="C19" s="9" t="inlineStr">
        <is>
          <t>HU-41</t>
        </is>
      </c>
      <c r="D19" s="10" t="inlineStr">
        <is>
          <t>Agendar controles</t>
        </is>
      </c>
      <c r="E19" s="10" t="inlineStr">
        <is>
          <t>Como profesional de salud del centro, quiero agendar los controles de cada paciente en la plataforma, para tener en un solo lugar cuándo debe verse cada paciente.</t>
        </is>
      </c>
      <c r="F19" s="10" t="inlineStr">
        <is>
          <t>E7 Gestión de controles</t>
        </is>
      </c>
      <c r="G19" s="9" t="inlineStr">
        <is>
          <t>Must</t>
        </is>
      </c>
      <c r="H19" s="9" t="n">
        <v>3</v>
      </c>
      <c r="I19" s="9">
        <f>IF(H19="","",SUM(H$5:H19))</f>
        <v>56</v>
      </c>
      <c r="J19" s="9" t="str">
        <f>IF(I19="","—",IF(I19&gt;'Resumen y criterios'!$D$6*'Resumen y criterios'!$D$7,"Sobre la capacidad","Sprint "&amp;ROUNDUP(I19/'Resumen y criterios'!$D$6,0)&amp;" (semana del "&amp;DAY('Resumen y criterios'!$D$8+7*(ROUNDUP(I19/'Resumen y criterios'!$D$6,0)-1))&amp;"/"&amp;MONTH('Resumen y criterios'!$D$8+7*(ROUNDUP(I19/'Resumen y criterios'!$D$6,0)-1))&amp;")"))</f>
        <v>Sprint 4 (semana del 2/11)</v>
      </c>
      <c r="K19" s="9" t="inlineStr">
        <is>
          <t>HU-08</t>
        </is>
      </c>
      <c r="L19" s="10" t="inlineStr">
        <is>
          <t>Luis Pérez</t>
        </is>
      </c>
      <c r="M19" s="9" t="inlineStr">
        <is>
          <t>OE5</t>
        </is>
      </c>
      <c r="N19" s="10" t="inlineStr">
        <is>
          <t>En backlog</t>
        </is>
      </c>
      <c r="O19" s="9" t="inlineStr">
        <is>
          <t>Por hacer</t>
        </is>
      </c>
      <c r="P19" s="10" t="inlineStr">
        <is>
          <t>Base de la gestión de controles.</t>
        </is>
      </c>
    </row>
    <row r="20" ht="50" customHeight="1" s="16">
      <c r="B20" s="7" t="n">
        <v>16</v>
      </c>
      <c r="C20" s="9" t="inlineStr">
        <is>
          <t>HU-42</t>
        </is>
      </c>
      <c r="D20" s="10" t="inlineStr">
        <is>
          <t>Controles pendientes y atrasados</t>
        </is>
      </c>
      <c r="E20" s="10" t="inlineStr">
        <is>
          <t>Como profesional de salud del centro, quiero ver los controles pendientes y atrasados de mis pacientes y registrar si se realizaron, para recuperar a los pacientes que no llegaron a su control.</t>
        </is>
      </c>
      <c r="F20" s="10" t="inlineStr">
        <is>
          <t>E7 Gestión de controles</t>
        </is>
      </c>
      <c r="G20" s="9" t="inlineStr">
        <is>
          <t>Must</t>
        </is>
      </c>
      <c r="H20" s="9" t="n">
        <v>3</v>
      </c>
      <c r="I20" s="9">
        <f>IF(H20="","",SUM(H$5:H20))</f>
        <v>59</v>
      </c>
      <c r="J20" s="9" t="str">
        <f>IF(I20="","—",IF(I20&gt;'Resumen y criterios'!$D$6*'Resumen y criterios'!$D$7,"Sobre la capacidad","Sprint "&amp;ROUNDUP(I20/'Resumen y criterios'!$D$6,0)&amp;" (semana del "&amp;DAY('Resumen y criterios'!$D$8+7*(ROUNDUP(I20/'Resumen y criterios'!$D$6,0)-1))&amp;"/"&amp;MONTH('Resumen y criterios'!$D$8+7*(ROUNDUP(I20/'Resumen y criterios'!$D$6,0)-1))&amp;")"))</f>
        <v>Sprint 4 (semana del 2/11)</v>
      </c>
      <c r="K20" s="9" t="inlineStr">
        <is>
          <t>HU-41</t>
        </is>
      </c>
      <c r="L20" s="10" t="inlineStr">
        <is>
          <t>Luis Pérez</t>
        </is>
      </c>
      <c r="M20" s="9" t="inlineStr">
        <is>
          <t>OE5</t>
        </is>
      </c>
      <c r="N20" s="10" t="inlineStr">
        <is>
          <t>En backlog</t>
        </is>
      </c>
      <c r="O20" s="9" t="inlineStr">
        <is>
          <t>Por hacer</t>
        </is>
      </c>
      <c r="P20" s="10" t="inlineStr">
        <is>
          <t>Identifica a los pacientes que no llegaron a su control (OE5).</t>
        </is>
      </c>
    </row>
    <row r="21" ht="50" customHeight="1" s="16">
      <c r="B21" s="7" t="n">
        <v>17</v>
      </c>
      <c r="C21" s="9" t="inlineStr">
        <is>
          <t>HU-37</t>
        </is>
      </c>
      <c r="D21" s="10" t="inlineStr">
        <is>
          <t>Nivel de riesgo verde, amarillo o rojo</t>
        </is>
      </c>
      <c r="E21" s="10" t="inlineStr">
        <is>
          <t>Como profesional de salud del centro, quiero que cada paciente tenga un nivel de riesgo verde, amarillo o rojo calculado con sus registros recientes, para atender primero a quienes más lo necesitan.</t>
        </is>
      </c>
      <c r="F21" s="10" t="inlineStr">
        <is>
          <t>E6 Priorización por nivel de riesgo</t>
        </is>
      </c>
      <c r="G21" s="9" t="inlineStr">
        <is>
          <t>Must</t>
        </is>
      </c>
      <c r="H21" s="9" t="n">
        <v>5</v>
      </c>
      <c r="I21" s="9">
        <f>IF(H21="","",SUM(H$5:H21))</f>
        <v>64</v>
      </c>
      <c r="J21" s="9" t="str">
        <f>IF(I21="","—",IF(I21&gt;'Resumen y criterios'!$D$6*'Resumen y criterios'!$D$7,"Sobre la capacidad","Sprint "&amp;ROUNDUP(I21/'Resumen y criterios'!$D$6,0)&amp;" (semana del "&amp;DAY('Resumen y criterios'!$D$8+7*(ROUNDUP(I21/'Resumen y criterios'!$D$6,0)-1))&amp;"/"&amp;MONTH('Resumen y criterios'!$D$8+7*(ROUNDUP(I21/'Resumen y criterios'!$D$6,0)-1))&amp;")"))</f>
        <v>Sprint 4 (semana del 2/11)</v>
      </c>
      <c r="K21" s="9" t="inlineStr">
        <is>
          <t>HU-17, HU-18</t>
        </is>
      </c>
      <c r="L21" s="10" t="inlineStr">
        <is>
          <t>Luis Pérez</t>
        </is>
      </c>
      <c r="M21" s="9" t="inlineStr">
        <is>
          <t>OE4</t>
        </is>
      </c>
      <c r="N21" s="10" t="inlineStr">
        <is>
          <t>En backlog</t>
        </is>
      </c>
      <c r="O21" s="9" t="inlineStr">
        <is>
          <t>Por hacer</t>
        </is>
      </c>
      <c r="P21" s="10" t="inlineStr">
        <is>
          <t>Priorización de pacientes; con ella se mide el OE4.</t>
        </is>
      </c>
    </row>
    <row r="22" ht="50" customHeight="1" s="16">
      <c r="B22" s="7" t="n">
        <v>18</v>
      </c>
      <c r="C22" s="9" t="inlineStr">
        <is>
          <t>HU-46</t>
        </is>
      </c>
      <c r="D22" s="10" t="inlineStr">
        <is>
          <t>Aislamiento de datos entre centros</t>
        </is>
      </c>
      <c r="E22" s="10" t="inlineStr">
        <is>
          <t>Como administrador/a del centro asistencial, quiero tener la certeza de que ningún usuario de otro centro puede ver a nuestros pacientes, para proteger la confidencialidad de la información clínica.</t>
        </is>
      </c>
      <c r="F22" s="10" t="inlineStr">
        <is>
          <t>E8 Seguridad, multi-centro y despliegue</t>
        </is>
      </c>
      <c r="G22" s="9" t="inlineStr">
        <is>
          <t>Must</t>
        </is>
      </c>
      <c r="H22" s="9" t="n">
        <v>5</v>
      </c>
      <c r="I22" s="9">
        <f>IF(H22="","",SUM(H$5:H22))</f>
        <v>69</v>
      </c>
      <c r="J22" s="9" t="str">
        <f>IF(I22="","—",IF(I22&gt;'Resumen y criterios'!$D$6*'Resumen y criterios'!$D$7,"Sobre la capacidad","Sprint "&amp;ROUNDUP(I22/'Resumen y criterios'!$D$6,0)&amp;" (semana del "&amp;DAY('Resumen y criterios'!$D$8+7*(ROUNDUP(I22/'Resumen y criterios'!$D$6,0)-1))&amp;"/"&amp;MONTH('Resumen y criterios'!$D$8+7*(ROUNDUP(I22/'Resumen y criterios'!$D$6,0)-1))&amp;")"))</f>
        <v>Sprint 4 (semana del 2/11)</v>
      </c>
      <c r="K22" s="9" t="inlineStr">
        <is>
          <t>HU-01, HU-08</t>
        </is>
      </c>
      <c r="L22" s="10" t="inlineStr">
        <is>
          <t>Bastián Ñiripil</t>
        </is>
      </c>
      <c r="M22" s="9" t="inlineStr">
        <is>
          <t>OE6</t>
        </is>
      </c>
      <c r="N22" s="10" t="inlineStr">
        <is>
          <t>En backlog</t>
        </is>
      </c>
      <c r="O22" s="9" t="inlineStr">
        <is>
          <t>Por hacer</t>
        </is>
      </c>
      <c r="P22" s="10" t="inlineStr">
        <is>
          <t>Requisito crítico de seguridad y de la arquitectura multi-centro (OE6).</t>
        </is>
      </c>
    </row>
    <row r="23" ht="50" customHeight="1" s="16">
      <c r="B23" s="7" t="n">
        <v>19</v>
      </c>
      <c r="C23" s="9" t="inlineStr">
        <is>
          <t>HU-34</t>
        </is>
      </c>
      <c r="D23" s="10" t="inlineStr">
        <is>
          <t>Bandeja de alertas y acción tomada</t>
        </is>
      </c>
      <c r="E23" s="10" t="inlineStr">
        <is>
          <t>Como profesional de salud del centro, quiero ver las alertas abiertas en una bandeja y registrar la acción que tomé, para que el equipo sepa qué alertas ya fueron atendidas y cómo.</t>
        </is>
      </c>
      <c r="F23" s="10" t="inlineStr">
        <is>
          <t>E5 Alertas clínicas</t>
        </is>
      </c>
      <c r="G23" s="9" t="inlineStr">
        <is>
          <t>Must</t>
        </is>
      </c>
      <c r="H23" s="9" t="n">
        <v>3</v>
      </c>
      <c r="I23" s="9">
        <f>IF(H23="","",SUM(H$5:H23))</f>
        <v>72</v>
      </c>
      <c r="J23" s="9" t="str">
        <f>IF(I23="","—",IF(I23&gt;'Resumen y criterios'!$D$6*'Resumen y criterios'!$D$7,"Sobre la capacidad","Sprint "&amp;ROUNDUP(I23/'Resumen y criterios'!$D$6,0)&amp;" (semana del "&amp;DAY('Resumen y criterios'!$D$8+7*(ROUNDUP(I23/'Resumen y criterios'!$D$6,0)-1))&amp;"/"&amp;MONTH('Resumen y criterios'!$D$8+7*(ROUNDUP(I23/'Resumen y criterios'!$D$6,0)-1))&amp;")"))</f>
        <v>Sprint 4 (semana del 2/11)</v>
      </c>
      <c r="K23" s="9" t="inlineStr">
        <is>
          <t>HU-32</t>
        </is>
      </c>
      <c r="L23" s="10" t="inlineStr">
        <is>
          <t>Luis Pérez</t>
        </is>
      </c>
      <c r="M23" s="9" t="inlineStr">
        <is>
          <t>OE3</t>
        </is>
      </c>
      <c r="N23" s="10" t="inlineStr">
        <is>
          <t>En backlog</t>
        </is>
      </c>
      <c r="O23" s="9" t="inlineStr">
        <is>
          <t>Por hacer</t>
        </is>
      </c>
      <c r="P23" s="10" t="inlineStr">
        <is>
          <t>Sin ella las alertas no se pueden cerrar ni medir cómo se atendieron.</t>
        </is>
      </c>
    </row>
    <row r="24" ht="50" customHeight="1" s="16">
      <c r="B24" s="7" t="n">
        <v>20</v>
      </c>
      <c r="C24" s="9" t="inlineStr">
        <is>
          <t>HU-43</t>
        </is>
      </c>
      <c r="D24" s="10" t="inlineStr">
        <is>
          <t>Adelantar controles por alerta o riesgo</t>
        </is>
      </c>
      <c r="E24" s="10" t="inlineStr">
        <is>
          <t>Como profesional de salud del centro, quiero ver qué controles conviene adelantar por una alerta o un nivel de riesgo alto, y adelantarlos, para atender antes a quien lo necesita, sin esperar la fecha original.</t>
        </is>
      </c>
      <c r="F24" s="10" t="inlineStr">
        <is>
          <t>E7 Gestión de controles</t>
        </is>
      </c>
      <c r="G24" s="9" t="inlineStr">
        <is>
          <t>Must</t>
        </is>
      </c>
      <c r="H24" s="9" t="n">
        <v>5</v>
      </c>
      <c r="I24" s="9">
        <f>IF(H24="","",SUM(H$5:H24))</f>
        <v>77</v>
      </c>
      <c r="J24" s="9" t="str">
        <f>IF(I24="","—",IF(I24&gt;'Resumen y criterios'!$D$6*'Resumen y criterios'!$D$7,"Sobre la capacidad","Sprint "&amp;ROUNDUP(I24/'Resumen y criterios'!$D$6,0)&amp;" (semana del "&amp;DAY('Resumen y criterios'!$D$8+7*(ROUNDUP(I24/'Resumen y criterios'!$D$6,0)-1))&amp;"/"&amp;MONTH('Resumen y criterios'!$D$8+7*(ROUNDUP(I24/'Resumen y criterios'!$D$6,0)-1))&amp;")"))</f>
        <v>Sobre la capacidad</v>
      </c>
      <c r="K24" s="9" t="inlineStr">
        <is>
          <t>HU-42, HU-34, HU-37</t>
        </is>
      </c>
      <c r="L24" s="10" t="inlineStr">
        <is>
          <t>Luis Pérez</t>
        </is>
      </c>
      <c r="M24" s="9" t="inlineStr">
        <is>
          <t>OE5</t>
        </is>
      </c>
      <c r="N24" s="10" t="inlineStr">
        <is>
          <t>En backlog</t>
        </is>
      </c>
      <c r="O24" s="9" t="inlineStr">
        <is>
          <t>Por hacer</t>
        </is>
      </c>
      <c r="P24" s="10" t="inlineStr">
        <is>
          <t>Une alertas, nivel de riesgo y controles; completa la medición del OE5.</t>
        </is>
      </c>
    </row>
    <row r="25" ht="65" customHeight="1" s="16">
      <c r="B25" s="7" t="n">
        <v>21</v>
      </c>
      <c r="C25" s="9" t="inlineStr">
        <is>
          <t>HU-47</t>
        </is>
      </c>
      <c r="D25" s="10" t="inlineStr">
        <is>
          <t>Levantar la plataforma con un comando</t>
        </is>
      </c>
      <c r="E25" s="10" t="inlineStr">
        <is>
          <t>Como equipo de desarrollo, queremos levantar la plataforma completa con un solo comando en un entorno limpio, con 2 centros y 3 especialidades de prueba, para demostrar que se puede instalar en cualquier centro sin pasos manuales.</t>
        </is>
      </c>
      <c r="F25" s="10" t="inlineStr">
        <is>
          <t>E8 Seguridad, multi-centro y despliegue</t>
        </is>
      </c>
      <c r="G25" s="9" t="inlineStr">
        <is>
          <t>Must</t>
        </is>
      </c>
      <c r="H25" s="9" t="n">
        <v>5</v>
      </c>
      <c r="I25" s="9">
        <f>IF(H25="","",SUM(H$5:H25))</f>
        <v>82</v>
      </c>
      <c r="J25" s="9" t="str">
        <f>IF(I25="","—",IF(I25&gt;'Resumen y criterios'!$D$6*'Resumen y criterios'!$D$7,"Sobre la capacidad","Sprint "&amp;ROUNDUP(I25/'Resumen y criterios'!$D$6,0)&amp;" (semana del "&amp;DAY('Resumen y criterios'!$D$8+7*(ROUNDUP(I25/'Resumen y criterios'!$D$6,0)-1))&amp;"/"&amp;MONTH('Resumen y criterios'!$D$8+7*(ROUNDUP(I25/'Resumen y criterios'!$D$6,0)-1))&amp;")"))</f>
        <v>Sobre la capacidad</v>
      </c>
      <c r="K25" s="9" t="inlineStr">
        <is>
          <t>HU-46</t>
        </is>
      </c>
      <c r="L25" s="10" t="inlineStr">
        <is>
          <t>Bastián Ñiripil</t>
        </is>
      </c>
      <c r="M25" s="9" t="inlineStr">
        <is>
          <t>OE6</t>
        </is>
      </c>
      <c r="N25" s="10" t="inlineStr">
        <is>
          <t>Habilitadora</t>
        </is>
      </c>
      <c r="O25" s="9" t="inlineStr">
        <is>
          <t>Por hacer</t>
        </is>
      </c>
      <c r="P25" s="10" t="inlineStr">
        <is>
          <t>Habilitadora exigida por el OE6 y por la asignatura (Docker).</t>
        </is>
      </c>
    </row>
    <row r="26" ht="50" customHeight="1" s="16">
      <c r="B26" s="7" t="n">
        <v>22</v>
      </c>
      <c r="C26" s="9" t="inlineStr">
        <is>
          <t>HU-19</t>
        </is>
      </c>
      <c r="D26" s="10" t="inlineStr">
        <is>
          <t>Informar síntomas y eventos</t>
        </is>
      </c>
      <c r="E26" s="10" t="inlineStr">
        <is>
          <t>Como cuidador/a, quiero informar síntomas o eventos como una caída, dolor o un cambio de ánimo, para que el equipo de salud se entere de lo que pasa en casa sin esperar al próximo control.</t>
        </is>
      </c>
      <c r="F26" s="10" t="inlineStr">
        <is>
          <t>E3 Registro del cuidador</t>
        </is>
      </c>
      <c r="G26" s="9" t="inlineStr">
        <is>
          <t>Must</t>
        </is>
      </c>
      <c r="H26" s="9" t="n">
        <v>3</v>
      </c>
      <c r="I26" s="9">
        <f>IF(H26="","",SUM(H$5:H26))</f>
        <v>85</v>
      </c>
      <c r="J26" s="9" t="str">
        <f>IF(I26="","—",IF(I26&gt;'Resumen y criterios'!$D$6*'Resumen y criterios'!$D$7,"Sobre la capacidad","Sprint "&amp;ROUNDUP(I26/'Resumen y criterios'!$D$6,0)&amp;" (semana del "&amp;DAY('Resumen y criterios'!$D$8+7*(ROUNDUP(I26/'Resumen y criterios'!$D$6,0)-1))&amp;"/"&amp;MONTH('Resumen y criterios'!$D$8+7*(ROUNDUP(I26/'Resumen y criterios'!$D$6,0)-1))&amp;")"))</f>
        <v>Sobre la capacidad</v>
      </c>
      <c r="K26" s="9" t="inlineStr">
        <is>
          <t>HU-16</t>
        </is>
      </c>
      <c r="L26" s="10" t="inlineStr">
        <is>
          <t>Bastián Ñiripil</t>
        </is>
      </c>
      <c r="M26" s="9" t="inlineStr">
        <is>
          <t>OE2</t>
        </is>
      </c>
      <c r="N26" s="10" t="inlineStr">
        <is>
          <t>En backlog</t>
        </is>
      </c>
      <c r="O26" s="9" t="inlineStr">
        <is>
          <t>Por hacer</t>
        </is>
      </c>
      <c r="P26" s="10" t="inlineStr">
        <is>
          <t>Completa el registro del cuidador y suma una señal al nivel de riesgo.</t>
        </is>
      </c>
    </row>
    <row r="27" ht="50" customHeight="1" s="16">
      <c r="B27" s="7" t="n">
        <v>23</v>
      </c>
      <c r="C27" s="9" t="inlineStr">
        <is>
          <t>HU-33</t>
        </is>
      </c>
      <c r="D27" s="10" t="inlineStr">
        <is>
          <t>Alerta por dosis omitidas o sin registros</t>
        </is>
      </c>
      <c r="E27" s="10" t="inlineStr">
        <is>
          <t>Como profesional de salud del centro, quiero recibir una alerta cuando un paciente acumula dosis omitidas o pasa varios días sin registros, para detectar a tiempo un abandono del tratamiento o del seguimiento.</t>
        </is>
      </c>
      <c r="F27" s="10" t="inlineStr">
        <is>
          <t>E5 Alertas clínicas</t>
        </is>
      </c>
      <c r="G27" s="9" t="inlineStr">
        <is>
          <t>Must</t>
        </is>
      </c>
      <c r="H27" s="9" t="n">
        <v>3</v>
      </c>
      <c r="I27" s="9">
        <f>IF(H27="","",SUM(H$5:H27))</f>
        <v>88</v>
      </c>
      <c r="J27" s="9" t="str">
        <f>IF(I27="","—",IF(I27&gt;'Resumen y criterios'!$D$6*'Resumen y criterios'!$D$7,"Sobre la capacidad","Sprint "&amp;ROUNDUP(I27/'Resumen y criterios'!$D$6,0)&amp;" (semana del "&amp;DAY('Resumen y criterios'!$D$8+7*(ROUNDUP(I27/'Resumen y criterios'!$D$6,0)-1))&amp;"/"&amp;MONTH('Resumen y criterios'!$D$8+7*(ROUNDUP(I27/'Resumen y criterios'!$D$6,0)-1))&amp;")"))</f>
        <v>Sobre la capacidad</v>
      </c>
      <c r="K27" s="9" t="inlineStr">
        <is>
          <t>HU-18, HU-32</t>
        </is>
      </c>
      <c r="L27" s="10" t="inlineStr">
        <is>
          <t>Luis Pérez</t>
        </is>
      </c>
      <c r="M27" s="9" t="inlineStr">
        <is>
          <t>OE3</t>
        </is>
      </c>
      <c r="N27" s="10" t="inlineStr">
        <is>
          <t>En backlog</t>
        </is>
      </c>
      <c r="O27" s="9" t="inlineStr">
        <is>
          <t>Por hacer</t>
        </is>
      </c>
      <c r="P27" s="10" t="inlineStr">
        <is>
          <t>Segunda regla de alerta; reutiliza lo construido en HU-32.</t>
        </is>
      </c>
    </row>
    <row r="28" ht="50" customHeight="1" s="16">
      <c r="B28" s="7" t="n">
        <v>24</v>
      </c>
      <c r="C28" s="9" t="inlineStr">
        <is>
          <t>HU-38</t>
        </is>
      </c>
      <c r="D28" s="10" t="inlineStr">
        <is>
          <t>Señales que explican el nivel de riesgo</t>
        </is>
      </c>
      <c r="E28" s="10" t="inlineStr">
        <is>
          <t>Como profesional de salud del centro, quiero ver qué señales explican el nivel de riesgo de un paciente, para confiar en la clasificación y decidir con mi propio criterio.</t>
        </is>
      </c>
      <c r="F28" s="10" t="inlineStr">
        <is>
          <t>E6 Priorización por nivel de riesgo</t>
        </is>
      </c>
      <c r="G28" s="9" t="inlineStr">
        <is>
          <t>Must</t>
        </is>
      </c>
      <c r="H28" s="9" t="n">
        <v>2</v>
      </c>
      <c r="I28" s="9">
        <f>IF(H28="","",SUM(H$5:H28))</f>
        <v>90</v>
      </c>
      <c r="J28" s="9" t="str">
        <f>IF(I28="","—",IF(I28&gt;'Resumen y criterios'!$D$6*'Resumen y criterios'!$D$7,"Sobre la capacidad","Sprint "&amp;ROUNDUP(I28/'Resumen y criterios'!$D$6,0)&amp;" (semana del "&amp;DAY('Resumen y criterios'!$D$8+7*(ROUNDUP(I28/'Resumen y criterios'!$D$6,0)-1))&amp;"/"&amp;MONTH('Resumen y criterios'!$D$8+7*(ROUNDUP(I28/'Resumen y criterios'!$D$6,0)-1))&amp;")"))</f>
        <v>Sobre la capacidad</v>
      </c>
      <c r="K28" s="9" t="inlineStr">
        <is>
          <t>HU-37</t>
        </is>
      </c>
      <c r="L28" s="10" t="inlineStr">
        <is>
          <t>Luis Pérez</t>
        </is>
      </c>
      <c r="M28" s="9" t="inlineStr">
        <is>
          <t>OE4</t>
        </is>
      </c>
      <c r="N28" s="10" t="inlineStr">
        <is>
          <t>En backlog</t>
        </is>
      </c>
      <c r="O28" s="9" t="inlineStr">
        <is>
          <t>Por hacer</t>
        </is>
      </c>
      <c r="P28" s="10" t="inlineStr">
        <is>
          <t>Bajo esfuerzo; da confianza al profesional en la clasificación.</t>
        </is>
      </c>
    </row>
    <row r="29" ht="50" customHeight="1" s="16">
      <c r="B29" s="7" t="n">
        <v>25</v>
      </c>
      <c r="C29" s="9" t="inlineStr">
        <is>
          <t>HU-39</t>
        </is>
      </c>
      <c r="D29" s="10" t="inlineStr">
        <is>
          <t>Panel ordenado por nivel de riesgo</t>
        </is>
      </c>
      <c r="E29" s="10" t="inlineStr">
        <is>
          <t>Como profesional de salud del centro, quiero que el panel de pacientes se ordene por nivel de riesgo, para ver primero a los pacientes en rojo.</t>
        </is>
      </c>
      <c r="F29" s="10" t="inlineStr">
        <is>
          <t>E6 Priorización por nivel de riesgo</t>
        </is>
      </c>
      <c r="G29" s="9" t="inlineStr">
        <is>
          <t>Must</t>
        </is>
      </c>
      <c r="H29" s="9" t="n">
        <v>2</v>
      </c>
      <c r="I29" s="9">
        <f>IF(H29="","",SUM(H$5:H29))</f>
        <v>92</v>
      </c>
      <c r="J29" s="9" t="str">
        <f>IF(I29="","—",IF(I29&gt;'Resumen y criterios'!$D$6*'Resumen y criterios'!$D$7,"Sobre la capacidad","Sprint "&amp;ROUNDUP(I29/'Resumen y criterios'!$D$6,0)&amp;" (semana del "&amp;DAY('Resumen y criterios'!$D$8+7*(ROUNDUP(I29/'Resumen y criterios'!$D$6,0)-1))&amp;"/"&amp;MONTH('Resumen y criterios'!$D$8+7*(ROUNDUP(I29/'Resumen y criterios'!$D$6,0)-1))&amp;")"))</f>
        <v>Sobre la capacidad</v>
      </c>
      <c r="K29" s="9" t="inlineStr">
        <is>
          <t>HU-24, HU-37</t>
        </is>
      </c>
      <c r="L29" s="10" t="inlineStr">
        <is>
          <t>Luis Pérez</t>
        </is>
      </c>
      <c r="M29" s="9" t="inlineStr">
        <is>
          <t>OE4</t>
        </is>
      </c>
      <c r="N29" s="10" t="inlineStr">
        <is>
          <t>En backlog</t>
        </is>
      </c>
      <c r="O29" s="9" t="inlineStr">
        <is>
          <t>Por hacer</t>
        </is>
      </c>
      <c r="P29" s="10" t="inlineStr">
        <is>
          <t>Bajo esfuerzo; hace visible la priorización en el panel.</t>
        </is>
      </c>
    </row>
    <row r="30" ht="65" customHeight="1" s="16">
      <c r="B30" s="7" t="n">
        <v>26</v>
      </c>
      <c r="C30" s="9" t="inlineStr">
        <is>
          <t>HU-03</t>
        </is>
      </c>
      <c r="D30" s="10" t="inlineStr">
        <is>
          <t>Cierre de sesión por inactividad</t>
        </is>
      </c>
      <c r="E30" s="10" t="inlineStr">
        <is>
          <t>Como usuario/a de la plataforma (profesional de salud o cuidador/a), quiero que mi sesión se cierre sola si dejo de usar la plataforma por un tiempo, para que nadie vea la información de los pacientes si dejo el computador o el celular desatendido.</t>
        </is>
      </c>
      <c r="F30" s="10" t="inlineStr">
        <is>
          <t>E1 Acceso y roles</t>
        </is>
      </c>
      <c r="G30" s="9" t="inlineStr">
        <is>
          <t>Must</t>
        </is>
      </c>
      <c r="H30" s="9" t="n">
        <v>2</v>
      </c>
      <c r="I30" s="9">
        <f>IF(H30="","",SUM(H$5:H30))</f>
        <v>94</v>
      </c>
      <c r="J30" s="9" t="str">
        <f>IF(I30="","—",IF(I30&gt;'Resumen y criterios'!$D$6*'Resumen y criterios'!$D$7,"Sobre la capacidad","Sprint "&amp;ROUNDUP(I30/'Resumen y criterios'!$D$6,0)&amp;" (semana del "&amp;DAY('Resumen y criterios'!$D$8+7*(ROUNDUP(I30/'Resumen y criterios'!$D$6,0)-1))&amp;"/"&amp;MONTH('Resumen y criterios'!$D$8+7*(ROUNDUP(I30/'Resumen y criterios'!$D$6,0)-1))&amp;")"))</f>
        <v>Sobre la capacidad</v>
      </c>
      <c r="K30" s="9" t="inlineStr">
        <is>
          <t>HU-02</t>
        </is>
      </c>
      <c r="L30" s="10" t="inlineStr">
        <is>
          <t>Bastián Ñiripil</t>
        </is>
      </c>
      <c r="M30" s="9" t="inlineStr">
        <is>
          <t>OE6</t>
        </is>
      </c>
      <c r="N30" s="10" t="inlineStr">
        <is>
          <t>En backlog</t>
        </is>
      </c>
      <c r="O30" s="9" t="inlineStr">
        <is>
          <t>Por hacer</t>
        </is>
      </c>
      <c r="P30" s="10" t="inlineStr">
        <is>
          <t>Protección básica de datos de salud en equipos compartidos.</t>
        </is>
      </c>
    </row>
    <row r="31" ht="50" customHeight="1" s="16">
      <c r="B31" s="7" t="n">
        <v>27</v>
      </c>
      <c r="C31" s="9" t="inlineStr">
        <is>
          <t>HU-26</t>
        </is>
      </c>
      <c r="D31" s="10" t="inlineStr">
        <is>
          <t>Gráficos de evolución de signos</t>
        </is>
      </c>
      <c r="E31" s="10" t="inlineStr">
        <is>
          <t>Como profesional de salud del centro, quiero ver gráficos de la evolución de los signos del paciente junto a sus umbrales, para detectar tendencias que no se ven en un registro aislado.</t>
        </is>
      </c>
      <c r="F31" s="10" t="inlineStr">
        <is>
          <t>E4 Panel del centro y ficha de seguimiento</t>
        </is>
      </c>
      <c r="G31" s="9" t="inlineStr">
        <is>
          <t>Must</t>
        </is>
      </c>
      <c r="H31" s="9" t="n">
        <v>3</v>
      </c>
      <c r="I31" s="9">
        <f>IF(H31="","",SUM(H$5:H31))</f>
        <v>97</v>
      </c>
      <c r="J31" s="9" t="str">
        <f>IF(I31="","—",IF(I31&gt;'Resumen y criterios'!$D$6*'Resumen y criterios'!$D$7,"Sobre la capacidad","Sprint "&amp;ROUNDUP(I31/'Resumen y criterios'!$D$6,0)&amp;" (semana del "&amp;DAY('Resumen y criterios'!$D$8+7*(ROUNDUP(I31/'Resumen y criterios'!$D$6,0)-1))&amp;"/"&amp;MONTH('Resumen y criterios'!$D$8+7*(ROUNDUP(I31/'Resumen y criterios'!$D$6,0)-1))&amp;")"))</f>
        <v>Sobre la capacidad</v>
      </c>
      <c r="K31" s="9" t="inlineStr">
        <is>
          <t>HU-25</t>
        </is>
      </c>
      <c r="L31" s="10" t="inlineStr">
        <is>
          <t>Luis Pérez</t>
        </is>
      </c>
      <c r="M31" s="9" t="inlineStr">
        <is>
          <t>OE1</t>
        </is>
      </c>
      <c r="N31" s="10" t="inlineStr">
        <is>
          <t>En backlog</t>
        </is>
      </c>
      <c r="O31" s="9" t="inlineStr">
        <is>
          <t>Por hacer</t>
        </is>
      </c>
      <c r="P31" s="10" t="inlineStr">
        <is>
          <t>Mejora la lectura de la ficha; es la Must que menos afecta la medición de los objetivos.</t>
        </is>
      </c>
    </row>
    <row r="32" ht="50" customHeight="1" s="16">
      <c r="B32" s="7" t="n">
        <v>28</v>
      </c>
      <c r="C32" s="9" t="inlineStr">
        <is>
          <t>HU-05</t>
        </is>
      </c>
      <c r="D32" s="10" t="inlineStr">
        <is>
          <t>Invitar cuidadores secundarios</t>
        </is>
      </c>
      <c r="E32" s="10" t="inlineStr">
        <is>
          <t>Como cuidador/a principal, quiero invitar a otros familiares o personas que me ayudan como cuidadores secundarios del paciente, para que el registro no dependa solo de mí cuando nos turnamos en el cuidado.</t>
        </is>
      </c>
      <c r="F32" s="10" t="inlineStr">
        <is>
          <t>E1 Acceso y roles</t>
        </is>
      </c>
      <c r="G32" s="9" t="inlineStr">
        <is>
          <t>Should</t>
        </is>
      </c>
      <c r="H32" s="9" t="n">
        <v>3</v>
      </c>
      <c r="I32" s="9">
        <f>IF(H32="","",SUM(H$5:H32))</f>
        <v>100</v>
      </c>
      <c r="J32" s="9" t="str">
        <f>IF(I32="","—",IF(I32&gt;'Resumen y criterios'!$D$6*'Resumen y criterios'!$D$7,"Sobre la capacidad","Sprint "&amp;ROUNDUP(I32/'Resumen y criterios'!$D$6,0)&amp;" (semana del "&amp;DAY('Resumen y criterios'!$D$8+7*(ROUNDUP(I32/'Resumen y criterios'!$D$6,0)-1))&amp;"/"&amp;MONTH('Resumen y criterios'!$D$8+7*(ROUNDUP(I32/'Resumen y criterios'!$D$6,0)-1))&amp;")"))</f>
        <v>Sobre la capacidad</v>
      </c>
      <c r="K32" s="9" t="inlineStr">
        <is>
          <t>HU-04</t>
        </is>
      </c>
      <c r="L32" s="10" t="inlineStr">
        <is>
          <t>Bastián Ñiripil</t>
        </is>
      </c>
      <c r="M32" s="9" t="inlineStr">
        <is>
          <t>OE2</t>
        </is>
      </c>
      <c r="N32" s="10" t="inlineStr">
        <is>
          <t>En backlog</t>
        </is>
      </c>
      <c r="O32" s="9" t="inlineStr">
        <is>
          <t>Por hacer</t>
        </is>
      </c>
      <c r="P32" s="10" t="inlineStr">
        <is>
          <t>Primera Should: completa el modelo de cuidador principal y secundarios.</t>
        </is>
      </c>
    </row>
    <row r="33" ht="65" customHeight="1" s="16">
      <c r="B33" s="7" t="n">
        <v>29</v>
      </c>
      <c r="C33" s="9" t="inlineStr">
        <is>
          <t>HU-29</t>
        </is>
      </c>
      <c r="D33" s="10" t="inlineStr">
        <is>
          <t>Indicaciones a los cuidadores</t>
        </is>
      </c>
      <c r="E33" s="10" t="inlineStr">
        <is>
          <t>Como profesional de salud del centro, quiero enviar indicaciones a los cuidadores del paciente, por ejemplo controlar la presión dos veces al día durante una semana, para ajustar el seguimiento sin esperar al próximo control.</t>
        </is>
      </c>
      <c r="F33" s="10" t="inlineStr">
        <is>
          <t>E4 Panel del centro y ficha de seguimiento</t>
        </is>
      </c>
      <c r="G33" s="9" t="inlineStr">
        <is>
          <t>Should</t>
        </is>
      </c>
      <c r="H33" s="9" t="n">
        <v>3</v>
      </c>
      <c r="I33" s="9">
        <f>IF(H33="","",SUM(H$5:H33))</f>
        <v>103</v>
      </c>
      <c r="J33" s="9" t="str">
        <f>IF(I33="","—",IF(I33&gt;'Resumen y criterios'!$D$6*'Resumen y criterios'!$D$7,"Sobre la capacidad","Sprint "&amp;ROUNDUP(I33/'Resumen y criterios'!$D$6,0)&amp;" (semana del "&amp;DAY('Resumen y criterios'!$D$8+7*(ROUNDUP(I33/'Resumen y criterios'!$D$6,0)-1))&amp;"/"&amp;MONTH('Resumen y criterios'!$D$8+7*(ROUNDUP(I33/'Resumen y criterios'!$D$6,0)-1))&amp;")"))</f>
        <v>Sobre la capacidad</v>
      </c>
      <c r="K33" s="9" t="inlineStr">
        <is>
          <t>HU-25</t>
        </is>
      </c>
      <c r="L33" s="10" t="inlineStr">
        <is>
          <t>Luis Pérez</t>
        </is>
      </c>
      <c r="M33" s="9" t="inlineStr">
        <is>
          <t>OG</t>
        </is>
      </c>
      <c r="N33" s="10" t="inlineStr">
        <is>
          <t>En backlog</t>
        </is>
      </c>
      <c r="O33" s="9" t="inlineStr">
        <is>
          <t>Por hacer</t>
        </is>
      </c>
      <c r="P33" s="10" t="inlineStr">
        <is>
          <t>Cierra el ciclo de comunicación del centro hacia el entorno del paciente.</t>
        </is>
      </c>
    </row>
    <row r="34" ht="50" customHeight="1" s="16">
      <c r="B34" s="7" t="n">
        <v>30</v>
      </c>
      <c r="C34" s="9" t="inlineStr">
        <is>
          <t>HU-21</t>
        </is>
      </c>
      <c r="D34" s="10" t="inlineStr">
        <is>
          <t>Ver plan e indicaciones en palabras simples</t>
        </is>
      </c>
      <c r="E34" s="10" t="inlineStr">
        <is>
          <t>Como cuidador/a, quiero ver las indicaciones y el plan de cuidado del paciente explicados en palabras simples, para entender qué me pide el equipo de salud y por qué.</t>
        </is>
      </c>
      <c r="F34" s="10" t="inlineStr">
        <is>
          <t>E3 Registro del cuidador</t>
        </is>
      </c>
      <c r="G34" s="9" t="inlineStr">
        <is>
          <t>Should</t>
        </is>
      </c>
      <c r="H34" s="9" t="n">
        <v>2</v>
      </c>
      <c r="I34" s="9">
        <f>IF(H34="","",SUM(H$5:H34))</f>
        <v>105</v>
      </c>
      <c r="J34" s="9" t="str">
        <f>IF(I34="","—",IF(I34&gt;'Resumen y criterios'!$D$6*'Resumen y criterios'!$D$7,"Sobre la capacidad","Sprint "&amp;ROUNDUP(I34/'Resumen y criterios'!$D$6,0)&amp;" (semana del "&amp;DAY('Resumen y criterios'!$D$8+7*(ROUNDUP(I34/'Resumen y criterios'!$D$6,0)-1))&amp;"/"&amp;MONTH('Resumen y criterios'!$D$8+7*(ROUNDUP(I34/'Resumen y criterios'!$D$6,0)-1))&amp;")"))</f>
        <v>Sobre la capacidad</v>
      </c>
      <c r="K34" s="9" t="inlineStr">
        <is>
          <t>HU-09, HU-29</t>
        </is>
      </c>
      <c r="L34" s="10" t="inlineStr">
        <is>
          <t>Bastián Ñiripil</t>
        </is>
      </c>
      <c r="M34" s="9" t="inlineStr">
        <is>
          <t>OE2</t>
        </is>
      </c>
      <c r="N34" s="10" t="inlineStr">
        <is>
          <t>En backlog</t>
        </is>
      </c>
      <c r="O34" s="9" t="inlineStr">
        <is>
          <t>Por hacer</t>
        </is>
      </c>
      <c r="P34" s="10" t="inlineStr">
        <is>
          <t>Permite al cuidador ver las indicaciones enviadas en HU-29.</t>
        </is>
      </c>
    </row>
    <row r="35" ht="65" customHeight="1" s="16">
      <c r="B35" s="7" t="n">
        <v>31</v>
      </c>
      <c r="C35" s="9" t="inlineStr">
        <is>
          <t>HU-30</t>
        </is>
      </c>
      <c r="D35" s="10" t="inlineStr">
        <is>
          <t>Indicadores del centro</t>
        </is>
      </c>
      <c r="E35" s="10" t="inlineStr">
        <is>
          <t>Como administrador/a del centro asistencial, quiero ver indicadores del centro: pacientes por nivel de riesgo, alertas atendidas a tiempo, controles atrasados e inasistencias, para saber cómo está funcionando el control de nuestros pacientes dependientes y dónde reforzar.</t>
        </is>
      </c>
      <c r="F35" s="10" t="inlineStr">
        <is>
          <t>E4 Panel del centro y ficha de seguimiento</t>
        </is>
      </c>
      <c r="G35" s="9" t="inlineStr">
        <is>
          <t>Should</t>
        </is>
      </c>
      <c r="H35" s="9" t="n">
        <v>5</v>
      </c>
      <c r="I35" s="9">
        <f>IF(H35="","",SUM(H$5:H35))</f>
        <v>110</v>
      </c>
      <c r="J35" s="9" t="str">
        <f>IF(I35="","—",IF(I35&gt;'Resumen y criterios'!$D$6*'Resumen y criterios'!$D$7,"Sobre la capacidad","Sprint "&amp;ROUNDUP(I35/'Resumen y criterios'!$D$6,0)&amp;" (semana del "&amp;DAY('Resumen y criterios'!$D$8+7*(ROUNDUP(I35/'Resumen y criterios'!$D$6,0)-1))&amp;"/"&amp;MONTH('Resumen y criterios'!$D$8+7*(ROUNDUP(I35/'Resumen y criterios'!$D$6,0)-1))&amp;")"))</f>
        <v>Sobre la capacidad</v>
      </c>
      <c r="K35" s="9" t="inlineStr">
        <is>
          <t>HU-34, HU-37, HU-42</t>
        </is>
      </c>
      <c r="L35" s="10" t="inlineStr">
        <is>
          <t>Luis Pérez</t>
        </is>
      </c>
      <c r="M35" s="9" t="inlineStr">
        <is>
          <t>OG</t>
        </is>
      </c>
      <c r="N35" s="10" t="inlineStr">
        <is>
          <t>En backlog</t>
        </is>
      </c>
      <c r="O35" s="9" t="inlineStr">
        <is>
          <t>Por hacer</t>
        </is>
      </c>
      <c r="P35" s="10" t="inlineStr">
        <is>
          <t>Refuerza el enfoque de gestión del centro; usa datos de alertas, riesgo y controles.</t>
        </is>
      </c>
    </row>
    <row r="36" ht="65" customHeight="1" s="16">
      <c r="B36" s="7" t="n">
        <v>32</v>
      </c>
      <c r="C36" s="9" t="inlineStr">
        <is>
          <t>HU-27</t>
        </is>
      </c>
      <c r="D36" s="10" t="inlineStr">
        <is>
          <t>Cumplimiento de medicamentos</t>
        </is>
      </c>
      <c r="E36" s="10" t="inlineStr">
        <is>
          <t>Como profesional de salud del centro, quiero ver el porcentaje de cumplimiento de los medicamentos del paciente en el último período, para saber si un empeoramiento puede deberse a que no está tomando su tratamiento.</t>
        </is>
      </c>
      <c r="F36" s="10" t="inlineStr">
        <is>
          <t>E4 Panel del centro y ficha de seguimiento</t>
        </is>
      </c>
      <c r="G36" s="9" t="inlineStr">
        <is>
          <t>Should</t>
        </is>
      </c>
      <c r="H36" s="9" t="n">
        <v>3</v>
      </c>
      <c r="I36" s="9">
        <f>IF(H36="","",SUM(H$5:H36))</f>
        <v>113</v>
      </c>
      <c r="J36" s="9" t="str">
        <f>IF(I36="","—",IF(I36&gt;'Resumen y criterios'!$D$6*'Resumen y criterios'!$D$7,"Sobre la capacidad","Sprint "&amp;ROUNDUP(I36/'Resumen y criterios'!$D$6,0)&amp;" (semana del "&amp;DAY('Resumen y criterios'!$D$8+7*(ROUNDUP(I36/'Resumen y criterios'!$D$6,0)-1))&amp;"/"&amp;MONTH('Resumen y criterios'!$D$8+7*(ROUNDUP(I36/'Resumen y criterios'!$D$6,0)-1))&amp;")"))</f>
        <v>Sobre la capacidad</v>
      </c>
      <c r="K36" s="9" t="inlineStr">
        <is>
          <t>HU-18</t>
        </is>
      </c>
      <c r="L36" s="10" t="inlineStr">
        <is>
          <t>Luis Pérez</t>
        </is>
      </c>
      <c r="M36" s="9" t="inlineStr">
        <is>
          <t>OE1</t>
        </is>
      </c>
      <c r="N36" s="10" t="inlineStr">
        <is>
          <t>En backlog</t>
        </is>
      </c>
      <c r="O36" s="9" t="inlineStr">
        <is>
          <t>Por hacer</t>
        </is>
      </c>
      <c r="P36" s="10" t="inlineStr">
        <is>
          <t>Ayuda a interpretar un empeoramiento en la ficha.</t>
        </is>
      </c>
    </row>
    <row r="37" ht="35" customHeight="1" s="16">
      <c r="B37" s="7" t="n">
        <v>33</v>
      </c>
      <c r="C37" s="9" t="inlineStr">
        <is>
          <t>HU-45</t>
        </is>
      </c>
      <c r="D37" s="10" t="inlineStr">
        <is>
          <t>Próximo control visible para el cuidador</t>
        </is>
      </c>
      <c r="E37" s="10" t="inlineStr">
        <is>
          <t>Como cuidador/a, quiero ver el próximo control del paciente y saber si fue adelantado, para no perder la hora ni enterarme tarde de un cambio.</t>
        </is>
      </c>
      <c r="F37" s="10" t="inlineStr">
        <is>
          <t>E7 Gestión de controles</t>
        </is>
      </c>
      <c r="G37" s="9" t="inlineStr">
        <is>
          <t>Should</t>
        </is>
      </c>
      <c r="H37" s="9" t="n">
        <v>2</v>
      </c>
      <c r="I37" s="9">
        <f>IF(H37="","",SUM(H$5:H37))</f>
        <v>115</v>
      </c>
      <c r="J37" s="9" t="str">
        <f>IF(I37="","—",IF(I37&gt;'Resumen y criterios'!$D$6*'Resumen y criterios'!$D$7,"Sobre la capacidad","Sprint "&amp;ROUNDUP(I37/'Resumen y criterios'!$D$6,0)&amp;" (semana del "&amp;DAY('Resumen y criterios'!$D$8+7*(ROUNDUP(I37/'Resumen y criterios'!$D$6,0)-1))&amp;"/"&amp;MONTH('Resumen y criterios'!$D$8+7*(ROUNDUP(I37/'Resumen y criterios'!$D$6,0)-1))&amp;")"))</f>
        <v>Sobre la capacidad</v>
      </c>
      <c r="K37" s="9" t="inlineStr">
        <is>
          <t>HU-41</t>
        </is>
      </c>
      <c r="L37" s="10" t="inlineStr">
        <is>
          <t>Luis Pérez</t>
        </is>
      </c>
      <c r="M37" s="9" t="inlineStr">
        <is>
          <t>OE5</t>
        </is>
      </c>
      <c r="N37" s="10" t="inlineStr">
        <is>
          <t>En backlog</t>
        </is>
      </c>
      <c r="O37" s="9" t="inlineStr">
        <is>
          <t>Por hacer</t>
        </is>
      </c>
      <c r="P37" s="10" t="inlineStr">
        <is>
          <t>Bajo esfuerzo; evita inasistencias por desconocer la fecha.</t>
        </is>
      </c>
    </row>
    <row r="38" ht="50" customHeight="1" s="16">
      <c r="B38" s="7" t="n">
        <v>34</v>
      </c>
      <c r="C38" s="9" t="inlineStr">
        <is>
          <t>HU-35</t>
        </is>
      </c>
      <c r="D38" s="10" t="inlineStr">
        <is>
          <t>Cuidador ve la revisión de una alerta</t>
        </is>
      </c>
      <c r="E38" s="10" t="inlineStr">
        <is>
          <t>Como cuidador/a, quiero saber cuándo el equipo de salud revisó una alerta del paciente y qué decidió, para quedarme tranquilo/a sabiendo que alguien lo vio.</t>
        </is>
      </c>
      <c r="F38" s="10" t="inlineStr">
        <is>
          <t>E5 Alertas clínicas</t>
        </is>
      </c>
      <c r="G38" s="9" t="inlineStr">
        <is>
          <t>Should</t>
        </is>
      </c>
      <c r="H38" s="9" t="n">
        <v>2</v>
      </c>
      <c r="I38" s="9">
        <f>IF(H38="","",SUM(H$5:H38))</f>
        <v>117</v>
      </c>
      <c r="J38" s="9" t="str">
        <f>IF(I38="","—",IF(I38&gt;'Resumen y criterios'!$D$6*'Resumen y criterios'!$D$7,"Sobre la capacidad","Sprint "&amp;ROUNDUP(I38/'Resumen y criterios'!$D$6,0)&amp;" (semana del "&amp;DAY('Resumen y criterios'!$D$8+7*(ROUNDUP(I38/'Resumen y criterios'!$D$6,0)-1))&amp;"/"&amp;MONTH('Resumen y criterios'!$D$8+7*(ROUNDUP(I38/'Resumen y criterios'!$D$6,0)-1))&amp;")"))</f>
        <v>Sobre la capacidad</v>
      </c>
      <c r="K38" s="9" t="inlineStr">
        <is>
          <t>HU-34</t>
        </is>
      </c>
      <c r="L38" s="10" t="inlineStr">
        <is>
          <t>Luis Pérez</t>
        </is>
      </c>
      <c r="M38" s="9" t="inlineStr">
        <is>
          <t>OE3</t>
        </is>
      </c>
      <c r="N38" s="10" t="inlineStr">
        <is>
          <t>En backlog</t>
        </is>
      </c>
      <c r="O38" s="9" t="inlineStr">
        <is>
          <t>Por hacer</t>
        </is>
      </c>
      <c r="P38" s="10" t="inlineStr">
        <is>
          <t>Bajo esfuerzo; da tranquilidad al cuidador.</t>
        </is>
      </c>
    </row>
    <row r="39" ht="35" customHeight="1" s="16">
      <c r="B39" s="7" t="n">
        <v>35</v>
      </c>
      <c r="C39" s="9" t="inlineStr">
        <is>
          <t>HU-20</t>
        </is>
      </c>
      <c r="D39" s="10" t="inlineStr">
        <is>
          <t>Corregir un registro</t>
        </is>
      </c>
      <c r="E39" s="10" t="inlineStr">
        <is>
          <t>Como cuidador/a, quiero corregir un registro que ingresé mal, para que el equipo de salud no tome decisiones con datos equivocados.</t>
        </is>
      </c>
      <c r="F39" s="10" t="inlineStr">
        <is>
          <t>E3 Registro del cuidador</t>
        </is>
      </c>
      <c r="G39" s="9" t="inlineStr">
        <is>
          <t>Should</t>
        </is>
      </c>
      <c r="H39" s="9" t="n">
        <v>2</v>
      </c>
      <c r="I39" s="9">
        <f>IF(H39="","",SUM(H$5:H39))</f>
        <v>119</v>
      </c>
      <c r="J39" s="9" t="str">
        <f>IF(I39="","—",IF(I39&gt;'Resumen y criterios'!$D$6*'Resumen y criterios'!$D$7,"Sobre la capacidad","Sprint "&amp;ROUNDUP(I39/'Resumen y criterios'!$D$6,0)&amp;" (semana del "&amp;DAY('Resumen y criterios'!$D$8+7*(ROUNDUP(I39/'Resumen y criterios'!$D$6,0)-1))&amp;"/"&amp;MONTH('Resumen y criterios'!$D$8+7*(ROUNDUP(I39/'Resumen y criterios'!$D$6,0)-1))&amp;")"))</f>
        <v>Sobre la capacidad</v>
      </c>
      <c r="K39" s="9" t="inlineStr">
        <is>
          <t>HU-17</t>
        </is>
      </c>
      <c r="L39" s="10" t="inlineStr">
        <is>
          <t>Bastián Ñiripil</t>
        </is>
      </c>
      <c r="M39" s="9" t="inlineStr">
        <is>
          <t>OE1</t>
        </is>
      </c>
      <c r="N39" s="10" t="inlineStr">
        <is>
          <t>En backlog</t>
        </is>
      </c>
      <c r="O39" s="9" t="inlineStr">
        <is>
          <t>Por hacer</t>
        </is>
      </c>
      <c r="P39" s="10" t="inlineStr">
        <is>
          <t>Mantiene confiable la información que usa el centro.</t>
        </is>
      </c>
    </row>
    <row r="40" ht="50" customHeight="1" s="16">
      <c r="B40" s="7" t="n">
        <v>36</v>
      </c>
      <c r="C40" s="9" t="inlineStr">
        <is>
          <t>HU-28</t>
        </is>
      </c>
      <c r="D40" s="10" t="inlineStr">
        <is>
          <t>Notas clínicas del profesional</t>
        </is>
      </c>
      <c r="E40" s="10" t="inlineStr">
        <is>
          <t>Como profesional de salud del centro, quiero registrar mis propias notas clínicas en la ficha de seguimiento del paciente, para que el resto del equipo sepa qué observé y qué decidí.</t>
        </is>
      </c>
      <c r="F40" s="10" t="inlineStr">
        <is>
          <t>E4 Panel del centro y ficha de seguimiento</t>
        </is>
      </c>
      <c r="G40" s="9" t="inlineStr">
        <is>
          <t>Should</t>
        </is>
      </c>
      <c r="H40" s="9" t="n">
        <v>2</v>
      </c>
      <c r="I40" s="9">
        <f>IF(H40="","",SUM(H$5:H40))</f>
        <v>121</v>
      </c>
      <c r="J40" s="9" t="str">
        <f>IF(I40="","—",IF(I40&gt;'Resumen y criterios'!$D$6*'Resumen y criterios'!$D$7,"Sobre la capacidad","Sprint "&amp;ROUNDUP(I40/'Resumen y criterios'!$D$6,0)&amp;" (semana del "&amp;DAY('Resumen y criterios'!$D$8+7*(ROUNDUP(I40/'Resumen y criterios'!$D$6,0)-1))&amp;"/"&amp;MONTH('Resumen y criterios'!$D$8+7*(ROUNDUP(I40/'Resumen y criterios'!$D$6,0)-1))&amp;")"))</f>
        <v>Sobre la capacidad</v>
      </c>
      <c r="K40" s="9" t="inlineStr">
        <is>
          <t>HU-25</t>
        </is>
      </c>
      <c r="L40" s="10" t="inlineStr">
        <is>
          <t>Luis Pérez</t>
        </is>
      </c>
      <c r="M40" s="9" t="inlineStr">
        <is>
          <t>OE1</t>
        </is>
      </c>
      <c r="N40" s="10" t="inlineStr">
        <is>
          <t>En backlog</t>
        </is>
      </c>
      <c r="O40" s="9" t="inlineStr">
        <is>
          <t>Por hacer</t>
        </is>
      </c>
      <c r="P40" s="10" t="inlineStr">
        <is>
          <t>Bajo esfuerzo; registra lo que decidió el equipo.</t>
        </is>
      </c>
    </row>
    <row r="41" ht="50" customHeight="1" s="16">
      <c r="B41" s="7" t="n">
        <v>37</v>
      </c>
      <c r="C41" s="9" t="inlineStr">
        <is>
          <t>HU-44</t>
        </is>
      </c>
      <c r="D41" s="10" t="inlineStr">
        <is>
          <t>Solicitar visita domiciliaria</t>
        </is>
      </c>
      <c r="E41" s="10" t="inlineStr">
        <is>
          <t>Como profesional de salud del centro, quiero solicitar una visita domiciliaria cuando el paciente no puede acudir al centro, y registrar su resultado, para controlarlo igual cuando su situación lo requiere.</t>
        </is>
      </c>
      <c r="F41" s="10" t="inlineStr">
        <is>
          <t>E7 Gestión de controles</t>
        </is>
      </c>
      <c r="G41" s="9" t="inlineStr">
        <is>
          <t>Should</t>
        </is>
      </c>
      <c r="H41" s="9" t="n">
        <v>3</v>
      </c>
      <c r="I41" s="9">
        <f>IF(H41="","",SUM(H$5:H41))</f>
        <v>124</v>
      </c>
      <c r="J41" s="9" t="str">
        <f>IF(I41="","—",IF(I41&gt;'Resumen y criterios'!$D$6*'Resumen y criterios'!$D$7,"Sobre la capacidad","Sprint "&amp;ROUNDUP(I41/'Resumen y criterios'!$D$6,0)&amp;" (semana del "&amp;DAY('Resumen y criterios'!$D$8+7*(ROUNDUP(I41/'Resumen y criterios'!$D$6,0)-1))&amp;"/"&amp;MONTH('Resumen y criterios'!$D$8+7*(ROUNDUP(I41/'Resumen y criterios'!$D$6,0)-1))&amp;")"))</f>
        <v>Sobre la capacidad</v>
      </c>
      <c r="K41" s="9" t="inlineStr">
        <is>
          <t>HU-42, HU-34</t>
        </is>
      </c>
      <c r="L41" s="10" t="inlineStr">
        <is>
          <t>Luis Pérez</t>
        </is>
      </c>
      <c r="M41" s="9" t="inlineStr">
        <is>
          <t>OE5</t>
        </is>
      </c>
      <c r="N41" s="10" t="inlineStr">
        <is>
          <t>En backlog</t>
        </is>
      </c>
      <c r="O41" s="9" t="inlineStr">
        <is>
          <t>Por hacer</t>
        </is>
      </c>
      <c r="P41" s="10" t="inlineStr">
        <is>
          <t>Acción puntual para pacientes que no pueden ir al centro.</t>
        </is>
      </c>
    </row>
    <row r="42" ht="50" customHeight="1" s="16">
      <c r="B42" s="7" t="n">
        <v>38</v>
      </c>
      <c r="C42" s="9" t="inlineStr">
        <is>
          <t>HU-06</t>
        </is>
      </c>
      <c r="D42" s="10" t="inlineStr">
        <is>
          <t>Desvincular cuidador secundario</t>
        </is>
      </c>
      <c r="E42" s="10" t="inlineStr">
        <is>
          <t>Como cuidador/a principal, quiero desvincular a un cuidador secundario que ya no ayuda en el cuidado, para que solo quienes cuidan hoy al paciente vean su información.</t>
        </is>
      </c>
      <c r="F42" s="10" t="inlineStr">
        <is>
          <t>E1 Acceso y roles</t>
        </is>
      </c>
      <c r="G42" s="9" t="inlineStr">
        <is>
          <t>Should</t>
        </is>
      </c>
      <c r="H42" s="9" t="n">
        <v>2</v>
      </c>
      <c r="I42" s="9">
        <f>IF(H42="","",SUM(H$5:H42))</f>
        <v>126</v>
      </c>
      <c r="J42" s="9" t="str">
        <f>IF(I42="","—",IF(I42&gt;'Resumen y criterios'!$D$6*'Resumen y criterios'!$D$7,"Sobre la capacidad","Sprint "&amp;ROUNDUP(I42/'Resumen y criterios'!$D$6,0)&amp;" (semana del "&amp;DAY('Resumen y criterios'!$D$8+7*(ROUNDUP(I42/'Resumen y criterios'!$D$6,0)-1))&amp;"/"&amp;MONTH('Resumen y criterios'!$D$8+7*(ROUNDUP(I42/'Resumen y criterios'!$D$6,0)-1))&amp;")"))</f>
        <v>Sobre la capacidad</v>
      </c>
      <c r="K42" s="9" t="inlineStr">
        <is>
          <t>HU-05</t>
        </is>
      </c>
      <c r="L42" s="10" t="inlineStr">
        <is>
          <t>Bastián Ñiripil</t>
        </is>
      </c>
      <c r="M42" s="9" t="inlineStr">
        <is>
          <t>OE6</t>
        </is>
      </c>
      <c r="N42" s="10" t="inlineStr">
        <is>
          <t>En backlog</t>
        </is>
      </c>
      <c r="O42" s="9" t="inlineStr">
        <is>
          <t>Por hacer</t>
        </is>
      </c>
      <c r="P42" s="10" t="inlineStr">
        <is>
          <t>Mantiene actualizado el equipo de cuidado.</t>
        </is>
      </c>
    </row>
    <row r="43" ht="35" customHeight="1" s="16">
      <c r="B43" s="7" t="n">
        <v>39</v>
      </c>
      <c r="C43" s="9" t="inlineStr">
        <is>
          <t>HU-22</t>
        </is>
      </c>
      <c r="D43" s="10" t="inlineStr">
        <is>
          <t>Elegir paciente si cuido a más de uno</t>
        </is>
      </c>
      <c r="E43" s="10" t="inlineStr">
        <is>
          <t>Como cuidador/a, quiero elegir a cuál paciente le voy a registrar, si cuido a más de uno, para no mezclar la información de dos personas.</t>
        </is>
      </c>
      <c r="F43" s="10" t="inlineStr">
        <is>
          <t>E3 Registro del cuidador</t>
        </is>
      </c>
      <c r="G43" s="9" t="inlineStr">
        <is>
          <t>Should</t>
        </is>
      </c>
      <c r="H43" s="9" t="n">
        <v>2</v>
      </c>
      <c r="I43" s="9">
        <f>IF(H43="","",SUM(H$5:H43))</f>
        <v>128</v>
      </c>
      <c r="J43" s="9" t="str">
        <f>IF(I43="","—",IF(I43&gt;'Resumen y criterios'!$D$6*'Resumen y criterios'!$D$7,"Sobre la capacidad","Sprint "&amp;ROUNDUP(I43/'Resumen y criterios'!$D$6,0)&amp;" (semana del "&amp;DAY('Resumen y criterios'!$D$8+7*(ROUNDUP(I43/'Resumen y criterios'!$D$6,0)-1))&amp;"/"&amp;MONTH('Resumen y criterios'!$D$8+7*(ROUNDUP(I43/'Resumen y criterios'!$D$6,0)-1))&amp;")"))</f>
        <v>Sobre la capacidad</v>
      </c>
      <c r="K43" s="9" t="inlineStr">
        <is>
          <t>HU-04</t>
        </is>
      </c>
      <c r="L43" s="10" t="inlineStr">
        <is>
          <t>Bastián Ñiripil</t>
        </is>
      </c>
      <c r="M43" s="9" t="inlineStr">
        <is>
          <t>OE2</t>
        </is>
      </c>
      <c r="N43" s="10" t="inlineStr">
        <is>
          <t>En backlog</t>
        </is>
      </c>
      <c r="O43" s="9" t="inlineStr">
        <is>
          <t>Por hacer</t>
        </is>
      </c>
      <c r="P43" s="10" t="inlineStr">
        <is>
          <t>Evita mezclar registros de dos pacientes.</t>
        </is>
      </c>
    </row>
    <row r="44" ht="50" customHeight="1" s="16">
      <c r="B44" s="7" t="n">
        <v>40</v>
      </c>
      <c r="C44" s="9" t="inlineStr">
        <is>
          <t>HU-13</t>
        </is>
      </c>
      <c r="D44" s="10" t="inlineStr">
        <is>
          <t>Cerrar o reabrir el seguimiento</t>
        </is>
      </c>
      <c r="E44" s="10" t="inlineStr">
        <is>
          <t>Como profesional de salud del centro, quiero cerrar el seguimiento de un paciente indicando el motivo (alta, traslado, fallecimiento u otro), para que el panel muestre solo a los pacientes que siguen en control.</t>
        </is>
      </c>
      <c r="F44" s="10" t="inlineStr">
        <is>
          <t>E2 Pacientes y planes de cuidado</t>
        </is>
      </c>
      <c r="G44" s="9" t="inlineStr">
        <is>
          <t>Should</t>
        </is>
      </c>
      <c r="H44" s="9" t="n">
        <v>2</v>
      </c>
      <c r="I44" s="9">
        <f>IF(H44="","",SUM(H$5:H44))</f>
        <v>130</v>
      </c>
      <c r="J44" s="9" t="str">
        <f>IF(I44="","—",IF(I44&gt;'Resumen y criterios'!$D$6*'Resumen y criterios'!$D$7,"Sobre la capacidad","Sprint "&amp;ROUNDUP(I44/'Resumen y criterios'!$D$6,0)&amp;" (semana del "&amp;DAY('Resumen y criterios'!$D$8+7*(ROUNDUP(I44/'Resumen y criterios'!$D$6,0)-1))&amp;"/"&amp;MONTH('Resumen y criterios'!$D$8+7*(ROUNDUP(I44/'Resumen y criterios'!$D$6,0)-1))&amp;")"))</f>
        <v>Sobre la capacidad</v>
      </c>
      <c r="K44" s="9" t="inlineStr">
        <is>
          <t>HU-08</t>
        </is>
      </c>
      <c r="L44" s="10" t="inlineStr">
        <is>
          <t>Bastián Ñiripil</t>
        </is>
      </c>
      <c r="M44" s="9" t="inlineStr">
        <is>
          <t>OG</t>
        </is>
      </c>
      <c r="N44" s="10" t="inlineStr">
        <is>
          <t>En backlog</t>
        </is>
      </c>
      <c r="O44" s="9" t="inlineStr">
        <is>
          <t>Por hacer</t>
        </is>
      </c>
      <c r="P44" s="10" t="inlineStr">
        <is>
          <t>Mantiene el panel limpio de pacientes que ya no están en control.</t>
        </is>
      </c>
    </row>
    <row r="45" ht="50" customHeight="1" s="16">
      <c r="B45" s="7" t="n">
        <v>41</v>
      </c>
      <c r="C45" s="9" t="inlineStr">
        <is>
          <t>HU-07</t>
        </is>
      </c>
      <c r="D45" s="10" t="inlineStr">
        <is>
          <t>Desactivar cuenta de profesional</t>
        </is>
      </c>
      <c r="E45" s="10" t="inlineStr">
        <is>
          <t>Como administrador/a del centro asistencial, quiero desactivar la cuenta de un profesional que deja el centro, para que nadie que ya no trabaja en el centro siga viendo a los pacientes.</t>
        </is>
      </c>
      <c r="F45" s="10" t="inlineStr">
        <is>
          <t>E1 Acceso y roles</t>
        </is>
      </c>
      <c r="G45" s="9" t="inlineStr">
        <is>
          <t>Should</t>
        </is>
      </c>
      <c r="H45" s="9" t="n">
        <v>2</v>
      </c>
      <c r="I45" s="9">
        <f>IF(H45="","",SUM(H$5:H45))</f>
        <v>132</v>
      </c>
      <c r="J45" s="9" t="str">
        <f>IF(I45="","—",IF(I45&gt;'Resumen y criterios'!$D$6*'Resumen y criterios'!$D$7,"Sobre la capacidad","Sprint "&amp;ROUNDUP(I45/'Resumen y criterios'!$D$6,0)&amp;" (semana del "&amp;DAY('Resumen y criterios'!$D$8+7*(ROUNDUP(I45/'Resumen y criterios'!$D$6,0)-1))&amp;"/"&amp;MONTH('Resumen y criterios'!$D$8+7*(ROUNDUP(I45/'Resumen y criterios'!$D$6,0)-1))&amp;")"))</f>
        <v>Sobre la capacidad</v>
      </c>
      <c r="K45" s="9" t="inlineStr">
        <is>
          <t>HU-01</t>
        </is>
      </c>
      <c r="L45" s="10" t="inlineStr">
        <is>
          <t>Bastián Ñiripil</t>
        </is>
      </c>
      <c r="M45" s="9" t="inlineStr">
        <is>
          <t>OE6</t>
        </is>
      </c>
      <c r="N45" s="10" t="inlineStr">
        <is>
          <t>En backlog</t>
        </is>
      </c>
      <c r="O45" s="9" t="inlineStr">
        <is>
          <t>Por hacer</t>
        </is>
      </c>
      <c r="P45" s="10" t="inlineStr">
        <is>
          <t>Seguridad ante cambios de personal.</t>
        </is>
      </c>
    </row>
    <row r="46" ht="50" customHeight="1" s="16">
      <c r="B46" s="7" t="n">
        <v>42</v>
      </c>
      <c r="C46" s="9" t="inlineStr">
        <is>
          <t>HU-14</t>
        </is>
      </c>
      <c r="D46" s="10" t="inlineStr">
        <is>
          <t>Reasignar pacientes entre profesionales</t>
        </is>
      </c>
      <c r="E46" s="10" t="inlineStr">
        <is>
          <t>Como administrador/a del centro asistencial, quiero reasignar los pacientes de un profesional a otro, para que ningún paciente quede sin seguimiento cuando un profesional se va o cambia de funciones.</t>
        </is>
      </c>
      <c r="F46" s="10" t="inlineStr">
        <is>
          <t>E2 Pacientes y planes de cuidado</t>
        </is>
      </c>
      <c r="G46" s="9" t="inlineStr">
        <is>
          <t>Should</t>
        </is>
      </c>
      <c r="H46" s="9" t="n">
        <v>2</v>
      </c>
      <c r="I46" s="9">
        <f>IF(H46="","",SUM(H$5:H46))</f>
        <v>134</v>
      </c>
      <c r="J46" s="9" t="str">
        <f>IF(I46="","—",IF(I46&gt;'Resumen y criterios'!$D$6*'Resumen y criterios'!$D$7,"Sobre la capacidad","Sprint "&amp;ROUNDUP(I46/'Resumen y criterios'!$D$6,0)&amp;" (semana del "&amp;DAY('Resumen y criterios'!$D$8+7*(ROUNDUP(I46/'Resumen y criterios'!$D$6,0)-1))&amp;"/"&amp;MONTH('Resumen y criterios'!$D$8+7*(ROUNDUP(I46/'Resumen y criterios'!$D$6,0)-1))&amp;")"))</f>
        <v>Sobre la capacidad</v>
      </c>
      <c r="K46" s="9" t="inlineStr">
        <is>
          <t>HU-07</t>
        </is>
      </c>
      <c r="L46" s="10" t="inlineStr">
        <is>
          <t>Bastián Ñiripil</t>
        </is>
      </c>
      <c r="M46" s="9" t="inlineStr">
        <is>
          <t>OG</t>
        </is>
      </c>
      <c r="N46" s="10" t="inlineStr">
        <is>
          <t>En backlog</t>
        </is>
      </c>
      <c r="O46" s="9" t="inlineStr">
        <is>
          <t>Por hacer</t>
        </is>
      </c>
      <c r="P46" s="10" t="inlineStr">
        <is>
          <t>Evita pacientes sin seguimiento cuando un profesional se va.</t>
        </is>
      </c>
    </row>
    <row r="47" ht="50" customHeight="1" s="16">
      <c r="B47" s="7" t="n">
        <v>43</v>
      </c>
      <c r="C47" s="9" t="inlineStr">
        <is>
          <t>HU-48</t>
        </is>
      </c>
      <c r="D47" s="10" t="inlineStr">
        <is>
          <t>Bitácora de accesos</t>
        </is>
      </c>
      <c r="E47" s="10" t="inlineStr">
        <is>
          <t>Como administrador/a del centro asistencial, quiero ver quién accedió a la información de cada paciente o la modificó, para responder ante cualquier revisión o reclamo.</t>
        </is>
      </c>
      <c r="F47" s="10" t="inlineStr">
        <is>
          <t>E8 Seguridad, multi-centro y despliegue</t>
        </is>
      </c>
      <c r="G47" s="9" t="inlineStr">
        <is>
          <t>Should</t>
        </is>
      </c>
      <c r="H47" s="9" t="n">
        <v>3</v>
      </c>
      <c r="I47" s="9">
        <f>IF(H47="","",SUM(H$5:H47))</f>
        <v>137</v>
      </c>
      <c r="J47" s="9" t="str">
        <f>IF(I47="","—",IF(I47&gt;'Resumen y criterios'!$D$6*'Resumen y criterios'!$D$7,"Sobre la capacidad","Sprint "&amp;ROUNDUP(I47/'Resumen y criterios'!$D$6,0)&amp;" (semana del "&amp;DAY('Resumen y criterios'!$D$8+7*(ROUNDUP(I47/'Resumen y criterios'!$D$6,0)-1))&amp;"/"&amp;MONTH('Resumen y criterios'!$D$8+7*(ROUNDUP(I47/'Resumen y criterios'!$D$6,0)-1))&amp;")"))</f>
        <v>Sobre la capacidad</v>
      </c>
      <c r="K47" s="9" t="inlineStr">
        <is>
          <t>HU-46</t>
        </is>
      </c>
      <c r="L47" s="10" t="inlineStr">
        <is>
          <t>Bastián Ñiripil</t>
        </is>
      </c>
      <c r="M47" s="9" t="inlineStr">
        <is>
          <t>OE6</t>
        </is>
      </c>
      <c r="N47" s="10" t="inlineStr">
        <is>
          <t>En backlog</t>
        </is>
      </c>
      <c r="O47" s="9" t="inlineStr">
        <is>
          <t>Por hacer</t>
        </is>
      </c>
      <c r="P47" s="10" t="inlineStr">
        <is>
          <t>Trazabilidad ante revisiones o reclamos (Ley 20.584).</t>
        </is>
      </c>
    </row>
    <row r="48" ht="65" customHeight="1" s="16">
      <c r="B48" s="7" t="n">
        <v>44</v>
      </c>
      <c r="C48" s="9" t="inlineStr">
        <is>
          <t>HU-49</t>
        </is>
      </c>
      <c r="D48" s="10" t="inlineStr">
        <is>
          <t>Solicitudes de acceso o eliminación de datos</t>
        </is>
      </c>
      <c r="E48" s="10" t="inlineStr">
        <is>
          <t>Como administrador/a del centro asistencial, quiero atender la solicitud de un paciente o de su representante que pide acceder a sus datos o eliminarlos, para cumplir sus derechos sobre sus datos personales.</t>
        </is>
      </c>
      <c r="F48" s="10" t="inlineStr">
        <is>
          <t>E8 Seguridad, multi-centro y despliegue</t>
        </is>
      </c>
      <c r="G48" s="9" t="inlineStr">
        <is>
          <t>Should</t>
        </is>
      </c>
      <c r="H48" s="9" t="n">
        <v>3</v>
      </c>
      <c r="I48" s="9">
        <f>IF(H48="","",SUM(H$5:H48))</f>
        <v>140</v>
      </c>
      <c r="J48" s="9" t="str">
        <f>IF(I48="","—",IF(I48&gt;'Resumen y criterios'!$D$6*'Resumen y criterios'!$D$7,"Sobre la capacidad","Sprint "&amp;ROUNDUP(I48/'Resumen y criterios'!$D$6,0)&amp;" (semana del "&amp;DAY('Resumen y criterios'!$D$8+7*(ROUNDUP(I48/'Resumen y criterios'!$D$6,0)-1))&amp;"/"&amp;MONTH('Resumen y criterios'!$D$8+7*(ROUNDUP(I48/'Resumen y criterios'!$D$6,0)-1))&amp;")"))</f>
        <v>Sobre la capacidad</v>
      </c>
      <c r="K48" s="9" t="inlineStr">
        <is>
          <t>HU-48</t>
        </is>
      </c>
      <c r="L48" s="10" t="inlineStr">
        <is>
          <t>Bastián Ñiripil</t>
        </is>
      </c>
      <c r="M48" s="9" t="inlineStr">
        <is>
          <t>OE6</t>
        </is>
      </c>
      <c r="N48" s="10" t="inlineStr">
        <is>
          <t>En backlog</t>
        </is>
      </c>
      <c r="O48" s="9" t="inlineStr">
        <is>
          <t>Por hacer</t>
        </is>
      </c>
      <c r="P48" s="10" t="inlineStr">
        <is>
          <t>Derechos del titular (Ley 21.719); usa la bitácora para dejar registro.</t>
        </is>
      </c>
    </row>
    <row r="49" ht="50" customHeight="1" s="16">
      <c r="B49" s="7" t="n">
        <v>45</v>
      </c>
      <c r="C49" s="9" t="inlineStr">
        <is>
          <t>HU-31</t>
        </is>
      </c>
      <c r="D49" s="10" t="inlineStr">
        <is>
          <t>Resumen descargable del seguimiento</t>
        </is>
      </c>
      <c r="E49" s="10" t="inlineStr">
        <is>
          <t>Como profesional de salud del centro, quiero descargar un resumen del seguimiento del paciente en un documento, para adjuntarlo a la ficha clínica del centro o tenerlo a mano en el control.</t>
        </is>
      </c>
      <c r="F49" s="10" t="inlineStr">
        <is>
          <t>E4 Panel del centro y ficha de seguimiento</t>
        </is>
      </c>
      <c r="G49" s="9" t="inlineStr">
        <is>
          <t>Could</t>
        </is>
      </c>
      <c r="H49" s="9" t="n">
        <v>3</v>
      </c>
      <c r="I49" s="9">
        <f>IF(H49="","",SUM(H$5:H49))</f>
        <v>143</v>
      </c>
      <c r="J49" s="9" t="str">
        <f>IF(I49="","—",IF(I49&gt;'Resumen y criterios'!$D$6*'Resumen y criterios'!$D$7,"Sobre la capacidad","Sprint "&amp;ROUNDUP(I49/'Resumen y criterios'!$D$6,0)&amp;" (semana del "&amp;DAY('Resumen y criterios'!$D$8+7*(ROUNDUP(I49/'Resumen y criterios'!$D$6,0)-1))&amp;"/"&amp;MONTH('Resumen y criterios'!$D$8+7*(ROUNDUP(I49/'Resumen y criterios'!$D$6,0)-1))&amp;")"))</f>
        <v>Sobre la capacidad</v>
      </c>
      <c r="K49" s="9" t="inlineStr">
        <is>
          <t>HU-25</t>
        </is>
      </c>
      <c r="L49" s="10" t="inlineStr">
        <is>
          <t>Luis Pérez</t>
        </is>
      </c>
      <c r="M49" s="9" t="inlineStr">
        <is>
          <t>OE1</t>
        </is>
      </c>
      <c r="N49" s="10" t="inlineStr">
        <is>
          <t>En backlog</t>
        </is>
      </c>
      <c r="O49" s="9" t="inlineStr">
        <is>
          <t>Por hacer</t>
        </is>
      </c>
      <c r="P49" s="10" t="inlineStr">
        <is>
          <t>Deseable; sustituye la integración con la ficha clínica.</t>
        </is>
      </c>
    </row>
    <row r="50" ht="50" customHeight="1" s="16">
      <c r="B50" s="7" t="n">
        <v>46</v>
      </c>
      <c r="C50" s="9" t="inlineStr">
        <is>
          <t>HU-36</t>
        </is>
      </c>
      <c r="D50" s="10" t="inlineStr">
        <is>
          <t>Derivar alerta a otro profesional</t>
        </is>
      </c>
      <c r="E50" s="10" t="inlineStr">
        <is>
          <t>Como profesional de salud del centro, quiero derivar una alerta a otro profesional del equipo, para que la atienda quien corresponde según el problema del paciente.</t>
        </is>
      </c>
      <c r="F50" s="10" t="inlineStr">
        <is>
          <t>E5 Alertas clínicas</t>
        </is>
      </c>
      <c r="G50" s="9" t="inlineStr">
        <is>
          <t>Could</t>
        </is>
      </c>
      <c r="H50" s="9" t="n">
        <v>2</v>
      </c>
      <c r="I50" s="9">
        <f>IF(H50="","",SUM(H$5:H50))</f>
        <v>145</v>
      </c>
      <c r="J50" s="9" t="str">
        <f>IF(I50="","—",IF(I50&gt;'Resumen y criterios'!$D$6*'Resumen y criterios'!$D$7,"Sobre la capacidad","Sprint "&amp;ROUNDUP(I50/'Resumen y criterios'!$D$6,0)&amp;" (semana del "&amp;DAY('Resumen y criterios'!$D$8+7*(ROUNDUP(I50/'Resumen y criterios'!$D$6,0)-1))&amp;"/"&amp;MONTH('Resumen y criterios'!$D$8+7*(ROUNDUP(I50/'Resumen y criterios'!$D$6,0)-1))&amp;")"))</f>
        <v>Sobre la capacidad</v>
      </c>
      <c r="K50" s="9" t="inlineStr">
        <is>
          <t>HU-34</t>
        </is>
      </c>
      <c r="L50" s="10" t="inlineStr">
        <is>
          <t>Luis Pérez</t>
        </is>
      </c>
      <c r="M50" s="9" t="inlineStr">
        <is>
          <t>OE3</t>
        </is>
      </c>
      <c r="N50" s="10" t="inlineStr">
        <is>
          <t>En backlog</t>
        </is>
      </c>
      <c r="O50" s="9" t="inlineStr">
        <is>
          <t>Por hacer</t>
        </is>
      </c>
      <c r="P50" s="10" t="inlineStr">
        <is>
          <t>Deseable; bajo esfuerzo.</t>
        </is>
      </c>
    </row>
    <row r="51" ht="50" customHeight="1" s="16">
      <c r="B51" s="7" t="n">
        <v>47</v>
      </c>
      <c r="C51" s="9" t="inlineStr">
        <is>
          <t>HU-40</t>
        </is>
      </c>
      <c r="D51" s="10" t="inlineStr">
        <is>
          <t>Historial del nivel de riesgo</t>
        </is>
      </c>
      <c r="E51" s="10" t="inlineStr">
        <is>
          <t>Como profesional de salud del centro, quiero ver cómo ha cambiado el nivel de riesgo de un paciente en el tiempo, para saber si está mejorando o empeorando.</t>
        </is>
      </c>
      <c r="F51" s="10" t="inlineStr">
        <is>
          <t>E6 Priorización por nivel de riesgo</t>
        </is>
      </c>
      <c r="G51" s="9" t="inlineStr">
        <is>
          <t>Could</t>
        </is>
      </c>
      <c r="H51" s="9" t="n">
        <v>3</v>
      </c>
      <c r="I51" s="9">
        <f>IF(H51="","",SUM(H$5:H51))</f>
        <v>148</v>
      </c>
      <c r="J51" s="9" t="str">
        <f>IF(I51="","—",IF(I51&gt;'Resumen y criterios'!$D$6*'Resumen y criterios'!$D$7,"Sobre la capacidad","Sprint "&amp;ROUNDUP(I51/'Resumen y criterios'!$D$6,0)&amp;" (semana del "&amp;DAY('Resumen y criterios'!$D$8+7*(ROUNDUP(I51/'Resumen y criterios'!$D$6,0)-1))&amp;"/"&amp;MONTH('Resumen y criterios'!$D$8+7*(ROUNDUP(I51/'Resumen y criterios'!$D$6,0)-1))&amp;")"))</f>
        <v>Sobre la capacidad</v>
      </c>
      <c r="K51" s="9" t="inlineStr">
        <is>
          <t>HU-37</t>
        </is>
      </c>
      <c r="L51" s="10" t="inlineStr">
        <is>
          <t>Luis Pérez</t>
        </is>
      </c>
      <c r="M51" s="9" t="inlineStr">
        <is>
          <t>OE4</t>
        </is>
      </c>
      <c r="N51" s="10" t="inlineStr">
        <is>
          <t>En backlog</t>
        </is>
      </c>
      <c r="O51" s="9" t="inlineStr">
        <is>
          <t>Por hacer</t>
        </is>
      </c>
      <c r="P51" s="10" t="inlineStr">
        <is>
          <t>Deseable; requiere guardar cada cambio de nivel.</t>
        </is>
      </c>
    </row>
    <row r="52" ht="65" customHeight="1" s="16">
      <c r="B52" s="7" t="n">
        <v>48</v>
      </c>
      <c r="C52" s="9" t="inlineStr">
        <is>
          <t>HU-15</t>
        </is>
      </c>
      <c r="D52" s="10" t="inlineStr">
        <is>
          <t>Varios planes para un paciente</t>
        </is>
      </c>
      <c r="E52" s="10" t="inlineStr">
        <is>
          <t>Como profesional de salud del centro, quiero asignar más de un plan de cuidado a un paciente que se controla en más de una especialidad, para vigilar todo lo que necesita sin que el cuidador registre lo mismo dos veces.</t>
        </is>
      </c>
      <c r="F52" s="10" t="inlineStr">
        <is>
          <t>E2 Pacientes y planes de cuidado</t>
        </is>
      </c>
      <c r="G52" s="9" t="inlineStr">
        <is>
          <t>Could</t>
        </is>
      </c>
      <c r="H52" s="9" t="n">
        <v>5</v>
      </c>
      <c r="I52" s="9">
        <f>IF(H52="","",SUM(H$5:H52))</f>
        <v>153</v>
      </c>
      <c r="J52" s="9" t="str">
        <f>IF(I52="","—",IF(I52&gt;'Resumen y criterios'!$D$6*'Resumen y criterios'!$D$7,"Sobre la capacidad","Sprint "&amp;ROUNDUP(I52/'Resumen y criterios'!$D$6,0)&amp;" (semana del "&amp;DAY('Resumen y criterios'!$D$8+7*(ROUNDUP(I52/'Resumen y criterios'!$D$6,0)-1))&amp;"/"&amp;MONTH('Resumen y criterios'!$D$8+7*(ROUNDUP(I52/'Resumen y criterios'!$D$6,0)-1))&amp;")"))</f>
        <v>Sobre la capacidad</v>
      </c>
      <c r="K52" s="9" t="inlineStr">
        <is>
          <t>HU-09</t>
        </is>
      </c>
      <c r="L52" s="10" t="inlineStr">
        <is>
          <t>Bastián Ñiripil</t>
        </is>
      </c>
      <c r="M52" s="9" t="inlineStr">
        <is>
          <t>OE6</t>
        </is>
      </c>
      <c r="N52" s="10" t="inlineStr">
        <is>
          <t>En backlog</t>
        </is>
      </c>
      <c r="O52" s="9" t="inlineStr">
        <is>
          <t>Por hacer</t>
        </is>
      </c>
      <c r="P52" s="10" t="inlineStr">
        <is>
          <t>Alto esfuerzo y regla de combinación sin validar.</t>
        </is>
      </c>
    </row>
    <row r="53" ht="50" customHeight="1" s="16">
      <c r="B53" s="7" t="n">
        <v>49</v>
      </c>
      <c r="C53" s="9" t="inlineStr">
        <is>
          <t>HU-23</t>
        </is>
      </c>
      <c r="D53" s="10" t="inlineStr">
        <is>
          <t>Recordatorios en el celular</t>
        </is>
      </c>
      <c r="E53" s="10" t="inlineStr">
        <is>
          <t>Como cuidador/a, quiero recibir un recordatorio en el celular cuando toca registrar algo o dar un medicamento, para no depender de mi memoria en un día con mucho trabajo.</t>
        </is>
      </c>
      <c r="F53" s="10" t="inlineStr">
        <is>
          <t>E3 Registro del cuidador</t>
        </is>
      </c>
      <c r="G53" s="9" t="inlineStr">
        <is>
          <t>Could</t>
        </is>
      </c>
      <c r="H53" s="9" t="n">
        <v>5</v>
      </c>
      <c r="I53" s="9">
        <f>IF(H53="","",SUM(H$5:H53))</f>
        <v>158</v>
      </c>
      <c r="J53" s="9" t="str">
        <f>IF(I53="","—",IF(I53&gt;'Resumen y criterios'!$D$6*'Resumen y criterios'!$D$7,"Sobre la capacidad","Sprint "&amp;ROUNDUP(I53/'Resumen y criterios'!$D$6,0)&amp;" (semana del "&amp;DAY('Resumen y criterios'!$D$8+7*(ROUNDUP(I53/'Resumen y criterios'!$D$6,0)-1))&amp;"/"&amp;MONTH('Resumen y criterios'!$D$8+7*(ROUNDUP(I53/'Resumen y criterios'!$D$6,0)-1))&amp;")"))</f>
        <v>Sobre la capacidad</v>
      </c>
      <c r="K53" s="9" t="inlineStr">
        <is>
          <t>HU-16</t>
        </is>
      </c>
      <c r="L53" s="10" t="inlineStr">
        <is>
          <t>Luis Pérez</t>
        </is>
      </c>
      <c r="M53" s="9" t="inlineStr">
        <is>
          <t>OE2</t>
        </is>
      </c>
      <c r="N53" s="10" t="inlineStr">
        <is>
          <t>En backlog</t>
        </is>
      </c>
      <c r="O53" s="9" t="inlineStr">
        <is>
          <t>Por hacer</t>
        </is>
      </c>
      <c r="P53" s="10" t="inlineStr">
        <is>
          <t>Alto esfuerzo y factibilidad técnica por confirmar en la aplicación web.</t>
        </is>
      </c>
    </row>
    <row r="54" ht="50" customHeight="1" s="16">
      <c r="B54" s="7" t="n">
        <v>50</v>
      </c>
      <c r="C54" s="9" t="inlineStr">
        <is>
          <t>HU-50</t>
        </is>
      </c>
      <c r="D54" s="10" t="inlineStr">
        <is>
          <t>Integración con la ficha clínica del centro</t>
        </is>
      </c>
      <c r="E54" s="10" t="inlineStr">
        <is>
          <t>Como profesional de salud del centro, quiero que la ficha de seguimiento se integre automáticamente con la ficha clínica del centro, para no tener que revisar dos sistemas.</t>
        </is>
      </c>
      <c r="F54" s="10" t="inlineStr">
        <is>
          <t>—</t>
        </is>
      </c>
      <c r="G54" s="9" t="inlineStr">
        <is>
          <t>Won't</t>
        </is>
      </c>
      <c r="H54" s="9" t="n"/>
      <c r="I54" s="9">
        <f>IF(H54="","",SUM(H$5:H54))</f>
        <v/>
      </c>
      <c r="J54" s="9" t="str">
        <f>IF(I54="","—",IF(I54&gt;'Resumen y criterios'!$D$6*'Resumen y criterios'!$D$7,"Sobre la capacidad","Sprint "&amp;ROUNDUP(I54/'Resumen y criterios'!$D$6,0)&amp;" (semana del "&amp;DAY('Resumen y criterios'!$D$8+7*(ROUNDUP(I54/'Resumen y criterios'!$D$6,0)-1))&amp;"/"&amp;MONTH('Resumen y criterios'!$D$8+7*(ROUNDUP(I54/'Resumen y criterios'!$D$6,0)-1))&amp;")"))</f>
        <v>—</v>
      </c>
      <c r="K54" s="9" t="inlineStr">
        <is>
          <t>—</t>
        </is>
      </c>
      <c r="L54" s="10" t="inlineStr">
        <is>
          <t>—</t>
        </is>
      </c>
      <c r="M54" s="9" t="inlineStr">
        <is>
          <t>—</t>
        </is>
      </c>
      <c r="N54" s="10" t="inlineStr">
        <is>
          <t>Fuera del MVP</t>
        </is>
      </c>
      <c r="O54" s="9" t="inlineStr">
        <is>
          <t>—</t>
        </is>
      </c>
      <c r="P54" s="10" t="inlineStr">
        <is>
          <t>Fuera del MVP: requiere acceso a sistemas reales de un centro.</t>
        </is>
      </c>
    </row>
    <row r="55" ht="50" customHeight="1" s="16">
      <c r="B55" s="7" t="n">
        <v>51</v>
      </c>
      <c r="C55" s="9" t="inlineStr">
        <is>
          <t>HU-51</t>
        </is>
      </c>
      <c r="D55" s="10" t="inlineStr">
        <is>
          <t>Mediciones desde equipos conectados</t>
        </is>
      </c>
      <c r="E55" s="10" t="inlineStr">
        <is>
          <t>Como cuidador/a, quiero que los valores lleguen directo desde el tensiómetro o el glucómetro, sin escribirlos, para registrar aún más rápido y sin errores de digitación.</t>
        </is>
      </c>
      <c r="F55" s="10" t="inlineStr">
        <is>
          <t>—</t>
        </is>
      </c>
      <c r="G55" s="9" t="inlineStr">
        <is>
          <t>Won't</t>
        </is>
      </c>
      <c r="H55" s="9" t="n"/>
      <c r="I55" s="9">
        <f>IF(H55="","",SUM(H$5:H55))</f>
        <v/>
      </c>
      <c r="J55" s="9" t="str">
        <f>IF(I55="","—",IF(I55&gt;'Resumen y criterios'!$D$6*'Resumen y criterios'!$D$7,"Sobre la capacidad","Sprint "&amp;ROUNDUP(I55/'Resumen y criterios'!$D$6,0)&amp;" (semana del "&amp;DAY('Resumen y criterios'!$D$8+7*(ROUNDUP(I55/'Resumen y criterios'!$D$6,0)-1))&amp;"/"&amp;MONTH('Resumen y criterios'!$D$8+7*(ROUNDUP(I55/'Resumen y criterios'!$D$6,0)-1))&amp;")"))</f>
        <v>—</v>
      </c>
      <c r="K55" s="9" t="inlineStr">
        <is>
          <t>—</t>
        </is>
      </c>
      <c r="L55" s="10" t="inlineStr">
        <is>
          <t>—</t>
        </is>
      </c>
      <c r="M55" s="9" t="inlineStr">
        <is>
          <t>—</t>
        </is>
      </c>
      <c r="N55" s="10" t="inlineStr">
        <is>
          <t>Fuera del MVP</t>
        </is>
      </c>
      <c r="O55" s="9" t="inlineStr">
        <is>
          <t>—</t>
        </is>
      </c>
      <c r="P55" s="10" t="inlineStr">
        <is>
          <t>Fuera del MVP: requiere equipos de medición e integración.</t>
        </is>
      </c>
    </row>
    <row r="56" s="16"/>
    <row r="57" s="16"/>
    <row r="58" s="16"/>
    <row r="59" s="16"/>
    <row r="60" s="16"/>
    <row r="61" s="16"/>
    <row r="62" s="16"/>
    <row r="63" s="16"/>
    <row r="64" s="16"/>
    <row r="65" s="16"/>
    <row r="66" s="16"/>
    <row r="67" s="16"/>
    <row r="68" s="16"/>
    <row r="69" s="16"/>
    <row r="70" s="16"/>
    <row r="71" s="16"/>
    <row r="72" s="16"/>
    <row r="73" s="16"/>
    <row r="74" s="16"/>
    <row r="75" s="16"/>
    <row r="76" s="16"/>
    <row r="77" s="16"/>
    <row r="78" s="16"/>
    <row r="79" s="16"/>
    <row r="80" s="16"/>
    <row r="81" s="16"/>
    <row r="82" s="16"/>
    <row r="83" s="16"/>
    <row r="84" s="16"/>
    <row r="85" ht="15.75" customHeight="1" s="16"/>
    <row r="86" ht="15.75" customHeight="1" s="16"/>
    <row r="87" ht="15.75" customHeight="1" s="16"/>
    <row r="88" ht="15.75" customHeight="1" s="16"/>
    <row r="89" ht="15.75" customHeight="1" s="16"/>
    <row r="90" ht="15.75" customHeight="1" s="16"/>
    <row r="91" ht="15.75" customHeight="1" s="16"/>
    <row r="92" ht="15.75" customHeight="1" s="16"/>
    <row r="93" ht="15.75" customHeight="1" s="16"/>
    <row r="94" ht="15.75" customHeight="1" s="16"/>
    <row r="95" ht="15.75" customHeight="1" s="16"/>
    <row r="96" ht="15.75" customHeight="1" s="16"/>
    <row r="97" ht="15.75" customHeight="1" s="16"/>
    <row r="98" ht="15.75" customHeight="1" s="16"/>
    <row r="99" ht="15.75" customHeight="1" s="16"/>
    <row r="100" ht="15.75" customHeight="1" s="16"/>
    <row r="101" ht="15.75" customHeight="1" s="16"/>
    <row r="102" ht="15.75" customHeight="1" s="16"/>
    <row r="103" ht="15.75" customHeight="1" s="16"/>
    <row r="104" ht="15.75" customHeight="1" s="16"/>
    <row r="105" ht="15.75" customHeight="1" s="16"/>
    <row r="106" ht="15.75" customHeight="1" s="16"/>
    <row r="107" ht="15.75" customHeight="1" s="16"/>
    <row r="108" ht="15.75" customHeight="1" s="16"/>
    <row r="109" ht="15.75" customHeight="1" s="16"/>
    <row r="110" ht="15.75" customHeight="1" s="16"/>
    <row r="111" ht="15.75" customHeight="1" s="16"/>
    <row r="112" ht="15.75" customHeight="1" s="16"/>
    <row r="113" ht="15.75" customHeight="1" s="16"/>
    <row r="114" ht="15.75" customHeight="1" s="16"/>
    <row r="115" ht="15.75" customHeight="1" s="16"/>
    <row r="116" ht="15.75" customHeight="1" s="16"/>
    <row r="117" ht="15.75" customHeight="1" s="16"/>
    <row r="118" ht="15.75" customHeight="1" s="16"/>
    <row r="119" ht="15.75" customHeight="1" s="16"/>
    <row r="120" ht="15.75" customHeight="1" s="16"/>
    <row r="121" ht="15.75" customHeight="1" s="16"/>
    <row r="122" ht="15.75" customHeight="1" s="16"/>
    <row r="123" ht="15.75" customHeight="1" s="16"/>
    <row r="124" ht="15.75" customHeight="1" s="16"/>
    <row r="125" ht="15.75" customHeight="1" s="16"/>
    <row r="126" ht="15.75" customHeight="1" s="16"/>
    <row r="127" ht="15.75" customHeight="1" s="16"/>
    <row r="128" ht="15.75" customHeight="1" s="16"/>
    <row r="129" ht="15.75" customHeight="1" s="16"/>
    <row r="130" ht="15.75" customHeight="1" s="16"/>
    <row r="131" ht="15.75" customHeight="1" s="16"/>
    <row r="132" ht="15.75" customHeight="1" s="16"/>
    <row r="133" ht="15.75" customHeight="1" s="16"/>
    <row r="134" ht="15.75" customHeight="1" s="16"/>
    <row r="135" ht="15.75" customHeight="1" s="16"/>
    <row r="136" ht="15.75" customHeight="1" s="16"/>
    <row r="137" ht="15.75" customHeight="1" s="16"/>
    <row r="138" ht="15.75" customHeight="1" s="16"/>
    <row r="139" ht="15.75" customHeight="1" s="16"/>
    <row r="140" ht="15.75" customHeight="1" s="16"/>
    <row r="141" ht="15.75" customHeight="1" s="16"/>
    <row r="142" ht="15.75" customHeight="1" s="16"/>
    <row r="143" ht="15.75" customHeight="1" s="16"/>
    <row r="144" ht="15.75" customHeight="1" s="16"/>
    <row r="145" ht="15.75" customHeight="1" s="16"/>
    <row r="146" ht="15.75" customHeight="1" s="16"/>
    <row r="147" ht="15.75" customHeight="1" s="16"/>
    <row r="148" ht="15.75" customHeight="1" s="16"/>
    <row r="149" ht="15.75" customHeight="1" s="16"/>
    <row r="150" ht="15.75" customHeight="1" s="16"/>
    <row r="151" ht="15.75" customHeight="1" s="16"/>
    <row r="152" ht="15.75" customHeight="1" s="16"/>
    <row r="153" ht="15.75" customHeight="1" s="16"/>
    <row r="154" ht="15.75" customHeight="1" s="16"/>
    <row r="155" ht="15.75" customHeight="1" s="16"/>
    <row r="156" ht="15.75" customHeight="1" s="16"/>
    <row r="157" ht="15.75" customHeight="1" s="16"/>
    <row r="158" ht="15.75" customHeight="1" s="16"/>
    <row r="159" ht="15.75" customHeight="1" s="16"/>
    <row r="160" ht="15.75" customHeight="1" s="16"/>
    <row r="161" ht="15.75" customHeight="1" s="16"/>
    <row r="162" ht="15.75" customHeight="1" s="16"/>
    <row r="163" ht="15.75" customHeight="1" s="16"/>
    <row r="164" ht="15.75" customHeight="1" s="16"/>
    <row r="165" ht="15.75" customHeight="1" s="16"/>
    <row r="166" ht="15.75" customHeight="1" s="16"/>
    <row r="167" ht="15.75" customHeight="1" s="16"/>
    <row r="168" ht="15.75" customHeight="1" s="16"/>
    <row r="169" ht="15.75" customHeight="1" s="16"/>
    <row r="170" ht="15.75" customHeight="1" s="16"/>
    <row r="171" ht="15.75" customHeight="1" s="16"/>
    <row r="172" ht="15.75" customHeight="1" s="16"/>
    <row r="173" ht="15.75" customHeight="1" s="16"/>
    <row r="174" ht="15.75" customHeight="1" s="16"/>
    <row r="175" ht="15.75" customHeight="1" s="16"/>
    <row r="176" ht="15.75" customHeight="1" s="16"/>
    <row r="177" ht="15.75" customHeight="1" s="16"/>
    <row r="178" ht="15.75" customHeight="1" s="16"/>
    <row r="179" ht="15.75" customHeight="1" s="16"/>
    <row r="180" ht="15.75" customHeight="1" s="16"/>
    <row r="181" ht="15.75" customHeight="1" s="16"/>
    <row r="182" ht="15.75" customHeight="1" s="16"/>
    <row r="183" ht="15.75" customHeight="1" s="16"/>
    <row r="184" ht="15.75" customHeight="1" s="16"/>
    <row r="185" ht="15.75" customHeight="1" s="16"/>
    <row r="186" ht="15.75" customHeight="1" s="16"/>
    <row r="187" ht="15.75" customHeight="1" s="16"/>
    <row r="188" ht="15.75" customHeight="1" s="16"/>
    <row r="189" ht="15.75" customHeight="1" s="16"/>
    <row r="190" ht="15.75" customHeight="1" s="16"/>
    <row r="191" ht="15.75" customHeight="1" s="16"/>
    <row r="192" ht="15.75" customHeight="1" s="16"/>
    <row r="193" ht="15.75" customHeight="1" s="16"/>
    <row r="194" ht="15.75" customHeight="1" s="16"/>
    <row r="195" ht="15.75" customHeight="1" s="16"/>
    <row r="196" ht="15.75" customHeight="1" s="16"/>
    <row r="197" ht="15.75" customHeight="1" s="16"/>
    <row r="198" ht="15.75" customHeight="1" s="16"/>
    <row r="199" ht="15.75" customHeight="1" s="16"/>
    <row r="200" ht="15.75" customHeight="1" s="16"/>
    <row r="201" ht="15.75" customHeight="1" s="16"/>
    <row r="202" ht="15.75" customHeight="1" s="16"/>
    <row r="203" ht="15.75" customHeight="1" s="16"/>
    <row r="204" ht="15.75" customHeight="1" s="16"/>
    <row r="205" ht="15.75" customHeight="1" s="16"/>
    <row r="206" ht="15.75" customHeight="1" s="16"/>
    <row r="207" ht="15.75" customHeight="1" s="16"/>
    <row r="208" ht="15.75" customHeight="1" s="16"/>
    <row r="209" ht="15.75" customHeight="1" s="16"/>
    <row r="210" ht="15.75" customHeight="1" s="16"/>
    <row r="211" ht="15.75" customHeight="1" s="16"/>
    <row r="212" ht="15.75" customHeight="1" s="16"/>
    <row r="213" ht="15.75" customHeight="1" s="16"/>
    <row r="214" ht="15.75" customHeight="1" s="16"/>
    <row r="215" ht="15.75" customHeight="1" s="16"/>
    <row r="216" ht="15.75" customHeight="1" s="16"/>
    <row r="217" ht="15.75" customHeight="1" s="16"/>
    <row r="218" ht="15.75" customHeight="1" s="16"/>
    <row r="219" ht="15.75" customHeight="1" s="16"/>
    <row r="220" ht="15.75" customHeight="1" s="16"/>
    <row r="221" ht="15.75" customHeight="1" s="16"/>
    <row r="222" ht="15.75" customHeight="1" s="16"/>
    <row r="223" ht="15.75" customHeight="1" s="16"/>
    <row r="224" ht="15.75" customHeight="1" s="16"/>
    <row r="225" ht="15.75" customHeight="1" s="16"/>
    <row r="226" ht="15.75" customHeight="1" s="16"/>
    <row r="227" ht="15.75" customHeight="1" s="16"/>
    <row r="228" ht="15.75" customHeight="1" s="16"/>
    <row r="229" ht="15.75" customHeight="1" s="16"/>
    <row r="230" ht="15.75" customHeight="1" s="16"/>
    <row r="231" ht="15.75" customHeight="1" s="16"/>
    <row r="232" ht="15.75" customHeight="1" s="16"/>
    <row r="233" ht="15.75" customHeight="1" s="16"/>
    <row r="234" ht="15.75" customHeight="1" s="16"/>
    <row r="235" ht="15.75" customHeight="1" s="16"/>
    <row r="236" ht="15.75" customHeight="1" s="16"/>
    <row r="237" ht="15.75" customHeight="1" s="16"/>
    <row r="238" ht="15.75" customHeight="1" s="16"/>
    <row r="239" ht="15.75" customHeight="1" s="16"/>
    <row r="240" ht="15.75" customHeight="1" s="16"/>
    <row r="241" ht="15.75" customHeight="1" s="16"/>
    <row r="242" ht="15.75" customHeight="1" s="16"/>
    <row r="243" ht="15.75" customHeight="1" s="16"/>
    <row r="244" ht="15.75" customHeight="1" s="16"/>
    <row r="245" ht="15.75" customHeight="1" s="16"/>
    <row r="246" ht="15.75" customHeight="1" s="16"/>
    <row r="247" ht="15.75" customHeight="1" s="16"/>
    <row r="248" ht="15.75" customHeight="1" s="16"/>
    <row r="249" ht="15.75" customHeight="1" s="16"/>
    <row r="250" ht="15.75" customHeight="1" s="16"/>
    <row r="251" ht="15.75" customHeight="1" s="16"/>
    <row r="252" ht="15.75" customHeight="1" s="16"/>
    <row r="253" ht="15.75" customHeight="1" s="16"/>
    <row r="254" ht="15.75" customHeight="1" s="16"/>
    <row r="255" ht="15.75" customHeight="1" s="16"/>
    <row r="256" ht="15.75" customHeight="1" s="16"/>
    <row r="257" ht="15.75" customHeight="1" s="16"/>
    <row r="258" ht="15.75" customHeight="1" s="16"/>
    <row r="259" ht="15.75" customHeight="1" s="16"/>
    <row r="260" ht="15.75" customHeight="1" s="16"/>
    <row r="261" ht="15.75" customHeight="1" s="16"/>
    <row r="262" ht="15.75" customHeight="1" s="16"/>
    <row r="263" ht="15.75" customHeight="1" s="16"/>
    <row r="264" ht="15.75" customHeight="1" s="16"/>
    <row r="265" ht="15.75" customHeight="1" s="16"/>
    <row r="266" ht="15.75" customHeight="1" s="16"/>
    <row r="267" ht="15.75" customHeight="1" s="16"/>
    <row r="268" ht="15.75" customHeight="1" s="16"/>
    <row r="269" ht="15.75" customHeight="1" s="16"/>
    <row r="270" ht="15.75" customHeight="1" s="16"/>
    <row r="271" ht="15.75" customHeight="1" s="16"/>
    <row r="272" ht="15.75" customHeight="1" s="16"/>
    <row r="273" ht="15.75" customHeight="1" s="16"/>
    <row r="274" ht="15.75" customHeight="1" s="16"/>
    <row r="275" ht="15.75" customHeight="1" s="16"/>
    <row r="276" ht="15.75" customHeight="1" s="16"/>
    <row r="277" ht="15.75" customHeight="1" s="16"/>
    <row r="278" ht="15.75" customHeight="1" s="16"/>
    <row r="279" ht="15.75" customHeight="1" s="16"/>
    <row r="280" ht="15.75" customHeight="1" s="16"/>
    <row r="281" ht="15.75" customHeight="1" s="16"/>
    <row r="282" ht="15.75" customHeight="1" s="16"/>
    <row r="283" ht="15.75" customHeight="1" s="16"/>
    <row r="284" ht="15.75" customHeight="1" s="16"/>
    <row r="285" ht="15.75" customHeight="1" s="16"/>
    <row r="286" ht="15.75" customHeight="1" s="16"/>
    <row r="287" ht="15.75" customHeight="1" s="16"/>
    <row r="288" ht="15.75" customHeight="1" s="16"/>
    <row r="289" ht="15.75" customHeight="1" s="16"/>
    <row r="290" ht="15.75" customHeight="1" s="16"/>
    <row r="291" ht="15.75" customHeight="1" s="16"/>
    <row r="292" ht="15.75" customHeight="1" s="16"/>
    <row r="293" ht="15.75" customHeight="1" s="16"/>
    <row r="294" ht="15.75" customHeight="1" s="16"/>
    <row r="295" ht="15.75" customHeight="1" s="16"/>
    <row r="296" ht="15.75" customHeight="1" s="16"/>
    <row r="297" ht="15.75" customHeight="1" s="16"/>
    <row r="298" ht="15.75" customHeight="1" s="16"/>
    <row r="299" ht="15.75" customHeight="1" s="16"/>
    <row r="300" ht="15.75" customHeight="1" s="16"/>
    <row r="301" ht="15.75" customHeight="1" s="16"/>
    <row r="302" ht="15.75" customHeight="1" s="16"/>
    <row r="303" ht="15.75" customHeight="1" s="16"/>
    <row r="304" ht="15.75" customHeight="1" s="16"/>
    <row r="305" ht="15.75" customHeight="1" s="16"/>
    <row r="306" ht="15.75" customHeight="1" s="16"/>
    <row r="307" ht="15.75" customHeight="1" s="16"/>
    <row r="308" ht="15.75" customHeight="1" s="16"/>
    <row r="309" ht="15.75" customHeight="1" s="16"/>
    <row r="310" ht="15.75" customHeight="1" s="16"/>
    <row r="311" ht="15.75" customHeight="1" s="16"/>
    <row r="312" ht="15.75" customHeight="1" s="16"/>
    <row r="313" ht="15.75" customHeight="1" s="16"/>
    <row r="314" ht="15.75" customHeight="1" s="16"/>
    <row r="315" ht="15.75" customHeight="1" s="16"/>
    <row r="316" ht="15.75" customHeight="1" s="16"/>
    <row r="317" ht="15.75" customHeight="1" s="16"/>
    <row r="318" ht="15.75" customHeight="1" s="16"/>
    <row r="319" ht="15.75" customHeight="1" s="16"/>
    <row r="320" ht="15.75" customHeight="1" s="16"/>
    <row r="321" ht="15.75" customHeight="1" s="16"/>
    <row r="322" ht="15.75" customHeight="1" s="16"/>
    <row r="323" ht="15.75" customHeight="1" s="16"/>
    <row r="324" ht="15.75" customHeight="1" s="16"/>
    <row r="325" ht="15.75" customHeight="1" s="16"/>
    <row r="326" ht="15.75" customHeight="1" s="16"/>
    <row r="327" ht="15.75" customHeight="1" s="16"/>
    <row r="328" ht="15.75" customHeight="1" s="16"/>
    <row r="329" ht="15.75" customHeight="1" s="16"/>
    <row r="330" ht="15.75" customHeight="1" s="16"/>
    <row r="331" ht="15.75" customHeight="1" s="16"/>
    <row r="332" ht="15.75" customHeight="1" s="16"/>
    <row r="333" ht="15.75" customHeight="1" s="16"/>
    <row r="334" ht="15.75" customHeight="1" s="16"/>
    <row r="335" ht="15.75" customHeight="1" s="16"/>
    <row r="336" ht="15.75" customHeight="1" s="16"/>
    <row r="337" ht="15.75" customHeight="1" s="16"/>
    <row r="338" ht="15.75" customHeight="1" s="16"/>
    <row r="339" ht="15.75" customHeight="1" s="16"/>
    <row r="340" ht="15.75" customHeight="1" s="16"/>
    <row r="341" ht="15.75" customHeight="1" s="16"/>
    <row r="342" ht="15.75" customHeight="1" s="16"/>
    <row r="343" ht="15.75" customHeight="1" s="16"/>
    <row r="344" ht="15.75" customHeight="1" s="16"/>
    <row r="345" ht="15.75" customHeight="1" s="16"/>
    <row r="346" ht="15.75" customHeight="1" s="16"/>
    <row r="347" ht="15.75" customHeight="1" s="16"/>
    <row r="348" ht="15.75" customHeight="1" s="16"/>
    <row r="349" ht="15.75" customHeight="1" s="16"/>
    <row r="350" ht="15.75" customHeight="1" s="16"/>
    <row r="351" ht="15.75" customHeight="1" s="16"/>
    <row r="352" ht="15.75" customHeight="1" s="16"/>
    <row r="353" ht="15.75" customHeight="1" s="16"/>
    <row r="354" ht="15.75" customHeight="1" s="16"/>
    <row r="355" ht="15.75" customHeight="1" s="16"/>
    <row r="356" ht="15.75" customHeight="1" s="16"/>
    <row r="357" ht="15.75" customHeight="1" s="16"/>
    <row r="358" ht="15.75" customHeight="1" s="16"/>
    <row r="359" ht="15.75" customHeight="1" s="16"/>
    <row r="360" ht="15.75" customHeight="1" s="16"/>
    <row r="361" ht="15.75" customHeight="1" s="16"/>
    <row r="362" ht="15.75" customHeight="1" s="16"/>
    <row r="363" ht="15.75" customHeight="1" s="16"/>
    <row r="364" ht="15.75" customHeight="1" s="16"/>
    <row r="365" ht="15.75" customHeight="1" s="16"/>
    <row r="366" ht="15.75" customHeight="1" s="16"/>
    <row r="367" ht="15.75" customHeight="1" s="16"/>
    <row r="368" ht="15.75" customHeight="1" s="16"/>
    <row r="369" ht="15.75" customHeight="1" s="16"/>
    <row r="370" ht="15.75" customHeight="1" s="16"/>
    <row r="371" ht="15.75" customHeight="1" s="16"/>
    <row r="372" ht="15.75" customHeight="1" s="16"/>
    <row r="373" ht="15.75" customHeight="1" s="16"/>
    <row r="374" ht="15.75" customHeight="1" s="16"/>
    <row r="375" ht="15.75" customHeight="1" s="16"/>
    <row r="376" ht="15.75" customHeight="1" s="16"/>
    <row r="377" ht="15.75" customHeight="1" s="16"/>
    <row r="378" ht="15.75" customHeight="1" s="16"/>
    <row r="379" ht="15.75" customHeight="1" s="16"/>
    <row r="380" ht="15.75" customHeight="1" s="16"/>
    <row r="381" ht="15.75" customHeight="1" s="16"/>
    <row r="382" ht="15.75" customHeight="1" s="16"/>
    <row r="383" ht="15.75" customHeight="1" s="16"/>
    <row r="384" ht="15.75" customHeight="1" s="16"/>
    <row r="385" ht="15.75" customHeight="1" s="16"/>
    <row r="386" ht="15.75" customHeight="1" s="16"/>
    <row r="387" ht="15.75" customHeight="1" s="16"/>
    <row r="388" ht="15.75" customHeight="1" s="16"/>
    <row r="389" ht="15.75" customHeight="1" s="16"/>
    <row r="390" ht="15.75" customHeight="1" s="16"/>
    <row r="391" ht="15.75" customHeight="1" s="16"/>
    <row r="392" ht="15.75" customHeight="1" s="16"/>
    <row r="393" ht="15.75" customHeight="1" s="16"/>
    <row r="394" ht="15.75" customHeight="1" s="16"/>
    <row r="395" ht="15.75" customHeight="1" s="16"/>
    <row r="396" ht="15.75" customHeight="1" s="16"/>
    <row r="397" ht="15.75" customHeight="1" s="16"/>
    <row r="398" ht="15.75" customHeight="1" s="16"/>
    <row r="399" ht="15.75" customHeight="1" s="16"/>
    <row r="400" ht="15.75" customHeight="1" s="16"/>
    <row r="401" ht="15.75" customHeight="1" s="16"/>
    <row r="402" ht="15.75" customHeight="1" s="16"/>
    <row r="403" ht="15.75" customHeight="1" s="16"/>
    <row r="404" ht="15.75" customHeight="1" s="16"/>
    <row r="405" ht="15.75" customHeight="1" s="16"/>
    <row r="406" ht="15.75" customHeight="1" s="16"/>
    <row r="407" ht="15.75" customHeight="1" s="16"/>
    <row r="408" ht="15.75" customHeight="1" s="16"/>
    <row r="409" ht="15.75" customHeight="1" s="16"/>
    <row r="410" ht="15.75" customHeight="1" s="16"/>
    <row r="411" ht="15.75" customHeight="1" s="16"/>
    <row r="412" ht="15.75" customHeight="1" s="16"/>
    <row r="413" ht="15.75" customHeight="1" s="16"/>
    <row r="414" ht="15.75" customHeight="1" s="16"/>
    <row r="415" ht="15.75" customHeight="1" s="16"/>
    <row r="416" ht="15.75" customHeight="1" s="16"/>
    <row r="417" ht="15.75" customHeight="1" s="16"/>
    <row r="418" ht="15.75" customHeight="1" s="16"/>
    <row r="419" ht="15.75" customHeight="1" s="16"/>
    <row r="420" ht="15.75" customHeight="1" s="16"/>
    <row r="421" ht="15.75" customHeight="1" s="16"/>
    <row r="422" ht="15.75" customHeight="1" s="16"/>
    <row r="423" ht="15.75" customHeight="1" s="16"/>
    <row r="424" ht="15.75" customHeight="1" s="16"/>
    <row r="425" ht="15.75" customHeight="1" s="16"/>
    <row r="426" ht="15.75" customHeight="1" s="16"/>
    <row r="427" ht="15.75" customHeight="1" s="16"/>
    <row r="428" ht="15.75" customHeight="1" s="16"/>
    <row r="429" ht="15.75" customHeight="1" s="16"/>
    <row r="430" ht="15.75" customHeight="1" s="16"/>
    <row r="431" ht="15.75" customHeight="1" s="16"/>
    <row r="432" ht="15.75" customHeight="1" s="16"/>
    <row r="433" ht="15.75" customHeight="1" s="16"/>
    <row r="434" ht="15.75" customHeight="1" s="16"/>
    <row r="435" ht="15.75" customHeight="1" s="16"/>
    <row r="436" ht="15.75" customHeight="1" s="16"/>
    <row r="437" ht="15.75" customHeight="1" s="16"/>
    <row r="438" ht="15.75" customHeight="1" s="16"/>
    <row r="439" ht="15.75" customHeight="1" s="16"/>
    <row r="440" ht="15.75" customHeight="1" s="16"/>
    <row r="441" ht="15.75" customHeight="1" s="16"/>
    <row r="442" ht="15.75" customHeight="1" s="16"/>
    <row r="443" ht="15.75" customHeight="1" s="16"/>
    <row r="444" ht="15.75" customHeight="1" s="16"/>
    <row r="445" ht="15.75" customHeight="1" s="16"/>
    <row r="446" ht="15.75" customHeight="1" s="16"/>
    <row r="447" ht="15.75" customHeight="1" s="16"/>
    <row r="448" ht="15.75" customHeight="1" s="16"/>
    <row r="449" ht="15.75" customHeight="1" s="16"/>
    <row r="450" ht="15.75" customHeight="1" s="16"/>
    <row r="451" ht="15.75" customHeight="1" s="16"/>
    <row r="452" ht="15.75" customHeight="1" s="16"/>
    <row r="453" ht="15.75" customHeight="1" s="16"/>
    <row r="454" ht="15.75" customHeight="1" s="16"/>
    <row r="455" ht="15.75" customHeight="1" s="16"/>
    <row r="456" ht="15.75" customHeight="1" s="16"/>
    <row r="457" ht="15.75" customHeight="1" s="16"/>
    <row r="458" ht="15.75" customHeight="1" s="16"/>
    <row r="459" ht="15.75" customHeight="1" s="16"/>
    <row r="460" ht="15.75" customHeight="1" s="16"/>
    <row r="461" ht="15.75" customHeight="1" s="16"/>
    <row r="462" ht="15.75" customHeight="1" s="16"/>
    <row r="463" ht="15.75" customHeight="1" s="16"/>
    <row r="464" ht="15.75" customHeight="1" s="16"/>
    <row r="465" ht="15.75" customHeight="1" s="16"/>
    <row r="466" ht="15.75" customHeight="1" s="16"/>
    <row r="467" ht="15.75" customHeight="1" s="16"/>
    <row r="468" ht="15.75" customHeight="1" s="16"/>
    <row r="469" ht="15.75" customHeight="1" s="16"/>
    <row r="470" ht="15.75" customHeight="1" s="16"/>
    <row r="471" ht="15.75" customHeight="1" s="16"/>
    <row r="472" ht="15.75" customHeight="1" s="16"/>
    <row r="473" ht="15.75" customHeight="1" s="16"/>
    <row r="474" ht="15.75" customHeight="1" s="16"/>
    <row r="475" ht="15.75" customHeight="1" s="16"/>
    <row r="476" ht="15.75" customHeight="1" s="16"/>
    <row r="477" ht="15.75" customHeight="1" s="16"/>
    <row r="478" ht="15.75" customHeight="1" s="16"/>
    <row r="479" ht="15.75" customHeight="1" s="16"/>
    <row r="480" ht="15.75" customHeight="1" s="16"/>
    <row r="481" ht="15.75" customHeight="1" s="16"/>
    <row r="482" ht="15.75" customHeight="1" s="16"/>
    <row r="483" ht="15.75" customHeight="1" s="16"/>
    <row r="484" ht="15.75" customHeight="1" s="16"/>
    <row r="485" ht="15.75" customHeight="1" s="16"/>
    <row r="486" ht="15.75" customHeight="1" s="16"/>
    <row r="487" ht="15.75" customHeight="1" s="16"/>
    <row r="488" ht="15.75" customHeight="1" s="16"/>
    <row r="489" ht="15.75" customHeight="1" s="16"/>
    <row r="490" ht="15.75" customHeight="1" s="16"/>
    <row r="491" ht="15.75" customHeight="1" s="16"/>
    <row r="492" ht="15.75" customHeight="1" s="16"/>
    <row r="493" ht="15.75" customHeight="1" s="16"/>
    <row r="494" ht="15.75" customHeight="1" s="16"/>
    <row r="495" ht="15.75" customHeight="1" s="16"/>
    <row r="496" ht="15.75" customHeight="1" s="16"/>
    <row r="497" ht="15.75" customHeight="1" s="16"/>
    <row r="498" ht="15.75" customHeight="1" s="16"/>
    <row r="499" ht="15.75" customHeight="1" s="16"/>
    <row r="500" ht="15.75" customHeight="1" s="16"/>
    <row r="501" ht="15.75" customHeight="1" s="16"/>
    <row r="502" ht="15.75" customHeight="1" s="16"/>
    <row r="503" ht="15.75" customHeight="1" s="16"/>
    <row r="504" ht="15.75" customHeight="1" s="16"/>
    <row r="505" ht="15.75" customHeight="1" s="16"/>
    <row r="506" ht="15.75" customHeight="1" s="16"/>
    <row r="507" ht="15.75" customHeight="1" s="16"/>
    <row r="508" ht="15.75" customHeight="1" s="16"/>
    <row r="509" ht="15.75" customHeight="1" s="16"/>
    <row r="510" ht="15.75" customHeight="1" s="16"/>
    <row r="511" ht="15.75" customHeight="1" s="16"/>
    <row r="512" ht="15.75" customHeight="1" s="16"/>
    <row r="513" ht="15.75" customHeight="1" s="16"/>
    <row r="514" ht="15.75" customHeight="1" s="16"/>
    <row r="515" ht="15.75" customHeight="1" s="16"/>
    <row r="516" ht="15.75" customHeight="1" s="16"/>
    <row r="517" ht="15.75" customHeight="1" s="16"/>
    <row r="518" ht="15.75" customHeight="1" s="16"/>
    <row r="519" ht="15.75" customHeight="1" s="16"/>
    <row r="520" ht="15.75" customHeight="1" s="16"/>
    <row r="521" ht="15.75" customHeight="1" s="16"/>
    <row r="522" ht="15.75" customHeight="1" s="16"/>
    <row r="523" ht="15.75" customHeight="1" s="16"/>
    <row r="524" ht="15.75" customHeight="1" s="16"/>
    <row r="525" ht="15.75" customHeight="1" s="16"/>
    <row r="526" ht="15.75" customHeight="1" s="16"/>
    <row r="527" ht="15.75" customHeight="1" s="16"/>
    <row r="528" ht="15.75" customHeight="1" s="16"/>
    <row r="529" ht="15.75" customHeight="1" s="16"/>
    <row r="530" ht="15.75" customHeight="1" s="16"/>
    <row r="531" ht="15.75" customHeight="1" s="16"/>
    <row r="532" ht="15.75" customHeight="1" s="16"/>
    <row r="533" ht="15.75" customHeight="1" s="16"/>
    <row r="534" ht="15.75" customHeight="1" s="16"/>
    <row r="535" ht="15.75" customHeight="1" s="16"/>
    <row r="536" ht="15.75" customHeight="1" s="16"/>
    <row r="537" ht="15.75" customHeight="1" s="16"/>
    <row r="538" ht="15.75" customHeight="1" s="16"/>
    <row r="539" ht="15.75" customHeight="1" s="16"/>
    <row r="540" ht="15.75" customHeight="1" s="16"/>
    <row r="541" ht="15.75" customHeight="1" s="16"/>
    <row r="542" ht="15.75" customHeight="1" s="16"/>
    <row r="543" ht="15.75" customHeight="1" s="16"/>
    <row r="544" ht="15.75" customHeight="1" s="16"/>
    <row r="545" ht="15.75" customHeight="1" s="16"/>
    <row r="546" ht="15.75" customHeight="1" s="16"/>
    <row r="547" ht="15.75" customHeight="1" s="16"/>
    <row r="548" ht="15.75" customHeight="1" s="16"/>
    <row r="549" ht="15.75" customHeight="1" s="16"/>
    <row r="550" ht="15.75" customHeight="1" s="16"/>
    <row r="551" ht="15.75" customHeight="1" s="16"/>
    <row r="552" ht="15.75" customHeight="1" s="16"/>
    <row r="553" ht="15.75" customHeight="1" s="16"/>
    <row r="554" ht="15.75" customHeight="1" s="16"/>
    <row r="555" ht="15.75" customHeight="1" s="16"/>
    <row r="556" ht="15.75" customHeight="1" s="16"/>
    <row r="557" ht="15.75" customHeight="1" s="16"/>
    <row r="558" ht="15.75" customHeight="1" s="16"/>
    <row r="559" ht="15.75" customHeight="1" s="16"/>
    <row r="560" ht="15.75" customHeight="1" s="16"/>
    <row r="561" ht="15.75" customHeight="1" s="16"/>
    <row r="562" ht="15.75" customHeight="1" s="16"/>
    <row r="563" ht="15.75" customHeight="1" s="16"/>
    <row r="564" ht="15.75" customHeight="1" s="16"/>
    <row r="565" ht="15.75" customHeight="1" s="16"/>
    <row r="566" ht="15.75" customHeight="1" s="16"/>
    <row r="567" ht="15.75" customHeight="1" s="16"/>
    <row r="568" ht="15.75" customHeight="1" s="16"/>
    <row r="569" ht="15.75" customHeight="1" s="16"/>
    <row r="570" ht="15.75" customHeight="1" s="16"/>
    <row r="571" ht="15.75" customHeight="1" s="16"/>
    <row r="572" ht="15.75" customHeight="1" s="16"/>
    <row r="573" ht="15.75" customHeight="1" s="16"/>
    <row r="574" ht="15.75" customHeight="1" s="16"/>
    <row r="575" ht="15.75" customHeight="1" s="16"/>
    <row r="576" ht="15.75" customHeight="1" s="16"/>
    <row r="577" ht="15.75" customHeight="1" s="16"/>
    <row r="578" ht="15.75" customHeight="1" s="16"/>
    <row r="579" ht="15.75" customHeight="1" s="16"/>
    <row r="580" ht="15.75" customHeight="1" s="16"/>
    <row r="581" ht="15.75" customHeight="1" s="16"/>
    <row r="582" ht="15.75" customHeight="1" s="16"/>
    <row r="583" ht="15.75" customHeight="1" s="16"/>
    <row r="584" ht="15.75" customHeight="1" s="16"/>
    <row r="585" ht="15.75" customHeight="1" s="16"/>
    <row r="586" ht="15.75" customHeight="1" s="16"/>
    <row r="587" ht="15.75" customHeight="1" s="16"/>
    <row r="588" ht="15.75" customHeight="1" s="16"/>
    <row r="589" ht="15.75" customHeight="1" s="16"/>
    <row r="590" ht="15.75" customHeight="1" s="16"/>
    <row r="591" ht="15.75" customHeight="1" s="16"/>
    <row r="592" ht="15.75" customHeight="1" s="16"/>
    <row r="593" ht="15.75" customHeight="1" s="16"/>
    <row r="594" ht="15.75" customHeight="1" s="16"/>
    <row r="595" ht="15.75" customHeight="1" s="16"/>
    <row r="596" ht="15.75" customHeight="1" s="16"/>
    <row r="597" ht="15.75" customHeight="1" s="16"/>
    <row r="598" ht="15.75" customHeight="1" s="16"/>
    <row r="599" ht="15.75" customHeight="1" s="16"/>
    <row r="600" ht="15.75" customHeight="1" s="16"/>
    <row r="601" ht="15.75" customHeight="1" s="16"/>
    <row r="602" ht="15.75" customHeight="1" s="16"/>
    <row r="603" ht="15.75" customHeight="1" s="16"/>
    <row r="604" ht="15.75" customHeight="1" s="16"/>
    <row r="605" ht="15.75" customHeight="1" s="16"/>
    <row r="606" ht="15.75" customHeight="1" s="16"/>
    <row r="607" ht="15.75" customHeight="1" s="16"/>
    <row r="608" ht="15.75" customHeight="1" s="16"/>
    <row r="609" ht="15.75" customHeight="1" s="16"/>
    <row r="610" ht="15.75" customHeight="1" s="16"/>
    <row r="611" ht="15.75" customHeight="1" s="16"/>
    <row r="612" ht="15.75" customHeight="1" s="16"/>
    <row r="613" ht="15.75" customHeight="1" s="16"/>
    <row r="614" ht="15.75" customHeight="1" s="16"/>
    <row r="615" ht="15.75" customHeight="1" s="16"/>
    <row r="616" ht="15.75" customHeight="1" s="16"/>
    <row r="617" ht="15.75" customHeight="1" s="16"/>
    <row r="618" ht="15.75" customHeight="1" s="16"/>
    <row r="619" ht="15.75" customHeight="1" s="16"/>
    <row r="620" ht="15.75" customHeight="1" s="16"/>
    <row r="621" ht="15.75" customHeight="1" s="16"/>
    <row r="622" ht="15.75" customHeight="1" s="16"/>
    <row r="623" ht="15.75" customHeight="1" s="16"/>
    <row r="624" ht="15.75" customHeight="1" s="16"/>
    <row r="625" ht="15.75" customHeight="1" s="16"/>
    <row r="626" ht="15.75" customHeight="1" s="16"/>
    <row r="627" ht="15.75" customHeight="1" s="16"/>
    <row r="628" ht="15.75" customHeight="1" s="16"/>
    <row r="629" ht="15.75" customHeight="1" s="16"/>
    <row r="630" ht="15.75" customHeight="1" s="16"/>
    <row r="631" ht="15.75" customHeight="1" s="16"/>
    <row r="632" ht="15.75" customHeight="1" s="16"/>
    <row r="633" ht="15.75" customHeight="1" s="16"/>
    <row r="634" ht="15.75" customHeight="1" s="16"/>
    <row r="635" ht="15.75" customHeight="1" s="16"/>
    <row r="636" ht="15.75" customHeight="1" s="16"/>
    <row r="637" ht="15.75" customHeight="1" s="16"/>
    <row r="638" ht="15.75" customHeight="1" s="16"/>
    <row r="639" ht="15.75" customHeight="1" s="16"/>
    <row r="640" ht="15.75" customHeight="1" s="16"/>
    <row r="641" ht="15.75" customHeight="1" s="16"/>
    <row r="642" ht="15.75" customHeight="1" s="16"/>
    <row r="643" ht="15.75" customHeight="1" s="16"/>
    <row r="644" ht="15.75" customHeight="1" s="16"/>
    <row r="645" ht="15.75" customHeight="1" s="16"/>
    <row r="646" ht="15.75" customHeight="1" s="16"/>
    <row r="647" ht="15.75" customHeight="1" s="16"/>
    <row r="648" ht="15.75" customHeight="1" s="16"/>
    <row r="649" ht="15.75" customHeight="1" s="16"/>
    <row r="650" ht="15.75" customHeight="1" s="16"/>
    <row r="651" ht="15.75" customHeight="1" s="16"/>
    <row r="652" ht="15.75" customHeight="1" s="16"/>
    <row r="653" ht="15.75" customHeight="1" s="16"/>
    <row r="654" ht="15.75" customHeight="1" s="16"/>
    <row r="655" ht="15.75" customHeight="1" s="16"/>
    <row r="656" ht="15.75" customHeight="1" s="16"/>
    <row r="657" ht="15.75" customHeight="1" s="16"/>
    <row r="658" ht="15.75" customHeight="1" s="16"/>
    <row r="659" ht="15.75" customHeight="1" s="16"/>
    <row r="660" ht="15.75" customHeight="1" s="16"/>
    <row r="661" ht="15.75" customHeight="1" s="16"/>
    <row r="662" ht="15.75" customHeight="1" s="16"/>
    <row r="663" ht="15.75" customHeight="1" s="16"/>
    <row r="664" ht="15.75" customHeight="1" s="16"/>
    <row r="665" ht="15.75" customHeight="1" s="16"/>
    <row r="666" ht="15.75" customHeight="1" s="16"/>
    <row r="667" ht="15.75" customHeight="1" s="16"/>
    <row r="668" ht="15.75" customHeight="1" s="16"/>
    <row r="669" ht="15.75" customHeight="1" s="16"/>
    <row r="670" ht="15.75" customHeight="1" s="16"/>
    <row r="671" ht="15.75" customHeight="1" s="16"/>
    <row r="672" ht="15.75" customHeight="1" s="16"/>
    <row r="673" ht="15.75" customHeight="1" s="16"/>
    <row r="674" ht="15.75" customHeight="1" s="16"/>
    <row r="675" ht="15.75" customHeight="1" s="16"/>
    <row r="676" ht="15.75" customHeight="1" s="16"/>
    <row r="677" ht="15.75" customHeight="1" s="16"/>
    <row r="678" ht="15.75" customHeight="1" s="16"/>
    <row r="679" ht="15.75" customHeight="1" s="16"/>
    <row r="680" ht="15.75" customHeight="1" s="16"/>
    <row r="681" ht="15.75" customHeight="1" s="16"/>
    <row r="682" ht="15.75" customHeight="1" s="16"/>
    <row r="683" ht="15.75" customHeight="1" s="16"/>
    <row r="684" ht="15.75" customHeight="1" s="16"/>
    <row r="685" ht="15.75" customHeight="1" s="16"/>
    <row r="686" ht="15.75" customHeight="1" s="16"/>
    <row r="687" ht="15.75" customHeight="1" s="16"/>
    <row r="688" ht="15.75" customHeight="1" s="16"/>
    <row r="689" ht="15.75" customHeight="1" s="16"/>
    <row r="690" ht="15.75" customHeight="1" s="16"/>
    <row r="691" ht="15.75" customHeight="1" s="16"/>
    <row r="692" ht="15.75" customHeight="1" s="16"/>
    <row r="693" ht="15.75" customHeight="1" s="16"/>
    <row r="694" ht="15.75" customHeight="1" s="16"/>
    <row r="695" ht="15.75" customHeight="1" s="16"/>
    <row r="696" ht="15.75" customHeight="1" s="16"/>
    <row r="697" ht="15.75" customHeight="1" s="16"/>
    <row r="698" ht="15.75" customHeight="1" s="16"/>
    <row r="699" ht="15.75" customHeight="1" s="16"/>
    <row r="700" ht="15.75" customHeight="1" s="16"/>
    <row r="701" ht="15.75" customHeight="1" s="16"/>
    <row r="702" ht="15.75" customHeight="1" s="16"/>
    <row r="703" ht="15.75" customHeight="1" s="16"/>
    <row r="704" ht="15.75" customHeight="1" s="16"/>
    <row r="705" ht="15.75" customHeight="1" s="16"/>
    <row r="706" ht="15.75" customHeight="1" s="16"/>
    <row r="707" ht="15.75" customHeight="1" s="16"/>
    <row r="708" ht="15.75" customHeight="1" s="16"/>
    <row r="709" ht="15.75" customHeight="1" s="16"/>
    <row r="710" ht="15.75" customHeight="1" s="16"/>
    <row r="711" ht="15.75" customHeight="1" s="16"/>
    <row r="712" ht="15.75" customHeight="1" s="16"/>
    <row r="713" ht="15.75" customHeight="1" s="16"/>
    <row r="714" ht="15.75" customHeight="1" s="16"/>
    <row r="715" ht="15.75" customHeight="1" s="16"/>
    <row r="716" ht="15.75" customHeight="1" s="16"/>
    <row r="717" ht="15.75" customHeight="1" s="16"/>
    <row r="718" ht="15.75" customHeight="1" s="16"/>
    <row r="719" ht="15.75" customHeight="1" s="16"/>
    <row r="720" ht="15.75" customHeight="1" s="16"/>
    <row r="721" ht="15.75" customHeight="1" s="16"/>
    <row r="722" ht="15.75" customHeight="1" s="16"/>
    <row r="723" ht="15.75" customHeight="1" s="16"/>
    <row r="724" ht="15.75" customHeight="1" s="16"/>
    <row r="725" ht="15.75" customHeight="1" s="16"/>
    <row r="726" ht="15.75" customHeight="1" s="16"/>
    <row r="727" ht="15.75" customHeight="1" s="16"/>
    <row r="728" ht="15.75" customHeight="1" s="16"/>
    <row r="729" ht="15.75" customHeight="1" s="16"/>
    <row r="730" ht="15.75" customHeight="1" s="16"/>
    <row r="731" ht="15.75" customHeight="1" s="16"/>
    <row r="732" ht="15.75" customHeight="1" s="16"/>
    <row r="733" ht="15.75" customHeight="1" s="16"/>
    <row r="734" ht="15.75" customHeight="1" s="16"/>
    <row r="735" ht="15.75" customHeight="1" s="16"/>
    <row r="736" ht="15.75" customHeight="1" s="16"/>
    <row r="737" ht="15.75" customHeight="1" s="16"/>
    <row r="738" ht="15.75" customHeight="1" s="16"/>
    <row r="739" ht="15.75" customHeight="1" s="16"/>
    <row r="740" ht="15.75" customHeight="1" s="16"/>
    <row r="741" ht="15.75" customHeight="1" s="16"/>
    <row r="742" ht="15.75" customHeight="1" s="16"/>
    <row r="743" ht="15.75" customHeight="1" s="16"/>
    <row r="744" ht="15.75" customHeight="1" s="16"/>
    <row r="745" ht="15.75" customHeight="1" s="16"/>
    <row r="746" ht="15.75" customHeight="1" s="16"/>
    <row r="747" ht="15.75" customHeight="1" s="16"/>
    <row r="748" ht="15.75" customHeight="1" s="16"/>
    <row r="749" ht="15.75" customHeight="1" s="16"/>
    <row r="750" ht="15.75" customHeight="1" s="16"/>
    <row r="751" ht="15.75" customHeight="1" s="16"/>
    <row r="752" ht="15.75" customHeight="1" s="16"/>
    <row r="753" ht="15.75" customHeight="1" s="16"/>
    <row r="754" ht="15.75" customHeight="1" s="16"/>
    <row r="755" ht="15.75" customHeight="1" s="16"/>
    <row r="756" ht="15.75" customHeight="1" s="16"/>
    <row r="757" ht="15.75" customHeight="1" s="16"/>
    <row r="758" ht="15.75" customHeight="1" s="16"/>
    <row r="759" ht="15.75" customHeight="1" s="16"/>
    <row r="760" ht="15.75" customHeight="1" s="16"/>
    <row r="761" ht="15.75" customHeight="1" s="16"/>
    <row r="762" ht="15.75" customHeight="1" s="16"/>
    <row r="763" ht="15.75" customHeight="1" s="16"/>
    <row r="764" ht="15.75" customHeight="1" s="16"/>
    <row r="765" ht="15.75" customHeight="1" s="16"/>
    <row r="766" ht="15.75" customHeight="1" s="16"/>
    <row r="767" ht="15.75" customHeight="1" s="16"/>
    <row r="768" ht="15.75" customHeight="1" s="16"/>
    <row r="769" ht="15.75" customHeight="1" s="16"/>
    <row r="770" ht="15.75" customHeight="1" s="16"/>
    <row r="771" ht="15.75" customHeight="1" s="16"/>
    <row r="772" ht="15.75" customHeight="1" s="16"/>
    <row r="773" ht="15.75" customHeight="1" s="16"/>
    <row r="774" ht="15.75" customHeight="1" s="16"/>
    <row r="775" ht="15.75" customHeight="1" s="16"/>
    <row r="776" ht="15.75" customHeight="1" s="16"/>
    <row r="777" ht="15.75" customHeight="1" s="16"/>
    <row r="778" ht="15.75" customHeight="1" s="16"/>
    <row r="779" ht="15.75" customHeight="1" s="16"/>
    <row r="780" ht="15.75" customHeight="1" s="16"/>
    <row r="781" ht="15.75" customHeight="1" s="16"/>
    <row r="782" ht="15.75" customHeight="1" s="16"/>
    <row r="783" ht="15.75" customHeight="1" s="16"/>
    <row r="784" ht="15.75" customHeight="1" s="16"/>
    <row r="785" ht="15.75" customHeight="1" s="16"/>
    <row r="786" ht="15.75" customHeight="1" s="16"/>
    <row r="787" ht="15.75" customHeight="1" s="16"/>
    <row r="788" ht="15.75" customHeight="1" s="16"/>
    <row r="789" ht="15.75" customHeight="1" s="16"/>
    <row r="790" ht="15.75" customHeight="1" s="16"/>
    <row r="791" ht="15.75" customHeight="1" s="16"/>
    <row r="792" ht="15.75" customHeight="1" s="16"/>
    <row r="793" ht="15.75" customHeight="1" s="16"/>
    <row r="794" ht="15.75" customHeight="1" s="16"/>
    <row r="795" ht="15.75" customHeight="1" s="16"/>
    <row r="796" ht="15.75" customHeight="1" s="16"/>
    <row r="797" ht="15.75" customHeight="1" s="16"/>
    <row r="798" ht="15.75" customHeight="1" s="16"/>
    <row r="799" ht="15.75" customHeight="1" s="16"/>
    <row r="800" ht="15.75" customHeight="1" s="16"/>
    <row r="801" ht="15.75" customHeight="1" s="16"/>
    <row r="802" ht="15.75" customHeight="1" s="16"/>
    <row r="803" ht="15.75" customHeight="1" s="16"/>
    <row r="804" ht="15.75" customHeight="1" s="16"/>
    <row r="805" ht="15.75" customHeight="1" s="16"/>
    <row r="806" ht="15.75" customHeight="1" s="16"/>
    <row r="807" ht="15.75" customHeight="1" s="16"/>
    <row r="808" ht="15.75" customHeight="1" s="16"/>
    <row r="809" ht="15.75" customHeight="1" s="16"/>
    <row r="810" ht="15.75" customHeight="1" s="16"/>
    <row r="811" ht="15.75" customHeight="1" s="16"/>
    <row r="812" ht="15.75" customHeight="1" s="16"/>
    <row r="813" ht="15.75" customHeight="1" s="16"/>
    <row r="814" ht="15.75" customHeight="1" s="16"/>
    <row r="815" ht="15.75" customHeight="1" s="16"/>
    <row r="816" ht="15.75" customHeight="1" s="16"/>
    <row r="817" ht="15.75" customHeight="1" s="16"/>
    <row r="818" ht="15.75" customHeight="1" s="16"/>
    <row r="819" ht="15.75" customHeight="1" s="16"/>
    <row r="820" ht="15.75" customHeight="1" s="16"/>
    <row r="821" ht="15.75" customHeight="1" s="16"/>
    <row r="822" ht="15.75" customHeight="1" s="16"/>
    <row r="823" ht="15.75" customHeight="1" s="16"/>
    <row r="824" ht="15.75" customHeight="1" s="16"/>
    <row r="825" ht="15.75" customHeight="1" s="16"/>
    <row r="826" ht="15.75" customHeight="1" s="16"/>
    <row r="827" ht="15.75" customHeight="1" s="16"/>
    <row r="828" ht="15.75" customHeight="1" s="16"/>
    <row r="829" ht="15.75" customHeight="1" s="16"/>
    <row r="830" ht="15.75" customHeight="1" s="16"/>
    <row r="831" ht="15.75" customHeight="1" s="16"/>
    <row r="832" ht="15.75" customHeight="1" s="16"/>
    <row r="833" ht="15.75" customHeight="1" s="16"/>
    <row r="834" ht="15.75" customHeight="1" s="16"/>
    <row r="835" ht="15.75" customHeight="1" s="16"/>
    <row r="836" ht="15.75" customHeight="1" s="16"/>
    <row r="837" ht="15.75" customHeight="1" s="16"/>
    <row r="838" ht="15.75" customHeight="1" s="16"/>
    <row r="839" ht="15.75" customHeight="1" s="16"/>
    <row r="840" ht="15.75" customHeight="1" s="16"/>
    <row r="841" ht="15.75" customHeight="1" s="16"/>
    <row r="842" ht="15.75" customHeight="1" s="16"/>
    <row r="843" ht="15.75" customHeight="1" s="16"/>
    <row r="844" ht="15.75" customHeight="1" s="16"/>
    <row r="845" ht="15.75" customHeight="1" s="16"/>
    <row r="846" ht="15.75" customHeight="1" s="16"/>
    <row r="847" ht="15.75" customHeight="1" s="16"/>
    <row r="848" ht="15.75" customHeight="1" s="16"/>
    <row r="849" ht="15.75" customHeight="1" s="16"/>
    <row r="850" ht="15.75" customHeight="1" s="16"/>
    <row r="851" ht="15.75" customHeight="1" s="16"/>
    <row r="852" ht="15.75" customHeight="1" s="16"/>
    <row r="853" ht="15.75" customHeight="1" s="16"/>
    <row r="854" ht="15.75" customHeight="1" s="16"/>
    <row r="855" ht="15.75" customHeight="1" s="16"/>
    <row r="856" ht="15.75" customHeight="1" s="16"/>
    <row r="857" ht="15.75" customHeight="1" s="16"/>
    <row r="858" ht="15.75" customHeight="1" s="16"/>
    <row r="859" ht="15.75" customHeight="1" s="16"/>
    <row r="860" ht="15.75" customHeight="1" s="16"/>
    <row r="861" ht="15.75" customHeight="1" s="16"/>
    <row r="862" ht="15.75" customHeight="1" s="16"/>
    <row r="863" ht="15.75" customHeight="1" s="16"/>
    <row r="864" ht="15.75" customHeight="1" s="16"/>
    <row r="865" ht="15.75" customHeight="1" s="16"/>
    <row r="866" ht="15.75" customHeight="1" s="16"/>
    <row r="867" ht="15.75" customHeight="1" s="16"/>
    <row r="868" ht="15.75" customHeight="1" s="16"/>
    <row r="869" ht="15.75" customHeight="1" s="16"/>
    <row r="870" ht="15.75" customHeight="1" s="16"/>
    <row r="871" ht="15.75" customHeight="1" s="16"/>
    <row r="872" ht="15.75" customHeight="1" s="16"/>
    <row r="873" ht="15.75" customHeight="1" s="16"/>
    <row r="874" ht="15.75" customHeight="1" s="16"/>
    <row r="875" ht="15.75" customHeight="1" s="16"/>
    <row r="876" ht="15.75" customHeight="1" s="16"/>
    <row r="877" ht="15.75" customHeight="1" s="16"/>
    <row r="878" ht="15.75" customHeight="1" s="16"/>
    <row r="879" ht="15.75" customHeight="1" s="16"/>
    <row r="880" ht="15.75" customHeight="1" s="16"/>
    <row r="881" ht="15.75" customHeight="1" s="16"/>
    <row r="882" ht="15.75" customHeight="1" s="16"/>
    <row r="883" ht="15.75" customHeight="1" s="16"/>
    <row r="884" ht="15.75" customHeight="1" s="16"/>
    <row r="885" ht="15.75" customHeight="1" s="16"/>
    <row r="886" ht="15.75" customHeight="1" s="16"/>
    <row r="887" ht="15.75" customHeight="1" s="16"/>
    <row r="888" ht="15.75" customHeight="1" s="16"/>
    <row r="889" ht="15.75" customHeight="1" s="16"/>
    <row r="890" ht="15.75" customHeight="1" s="16"/>
    <row r="891" ht="15.75" customHeight="1" s="16"/>
    <row r="892" ht="15.75" customHeight="1" s="16"/>
    <row r="893" ht="15.75" customHeight="1" s="16"/>
    <row r="894" ht="15.75" customHeight="1" s="16"/>
    <row r="895" ht="15.75" customHeight="1" s="16"/>
    <row r="896" ht="15.75" customHeight="1" s="16"/>
    <row r="897" ht="15.75" customHeight="1" s="16"/>
    <row r="898" ht="15.75" customHeight="1" s="16"/>
    <row r="899" ht="15.75" customHeight="1" s="16"/>
    <row r="900" ht="15.75" customHeight="1" s="16"/>
    <row r="901" ht="15.75" customHeight="1" s="16"/>
    <row r="902" ht="15.75" customHeight="1" s="16"/>
    <row r="903" ht="15.75" customHeight="1" s="16"/>
    <row r="904" ht="15.75" customHeight="1" s="16"/>
    <row r="905" ht="15.75" customHeight="1" s="16"/>
    <row r="906" ht="15.75" customHeight="1" s="16"/>
    <row r="907" ht="15.75" customHeight="1" s="16"/>
    <row r="908" ht="15.75" customHeight="1" s="16"/>
    <row r="909" ht="15.75" customHeight="1" s="16"/>
    <row r="910" ht="15.75" customHeight="1" s="16"/>
    <row r="911" ht="15.75" customHeight="1" s="16"/>
    <row r="912" ht="15.75" customHeight="1" s="16"/>
    <row r="913" ht="15.75" customHeight="1" s="16"/>
    <row r="914" ht="15.75" customHeight="1" s="16"/>
    <row r="915" ht="15.75" customHeight="1" s="16"/>
    <row r="916" ht="15.75" customHeight="1" s="16"/>
    <row r="917" ht="15.75" customHeight="1" s="16"/>
    <row r="918" ht="15.75" customHeight="1" s="16"/>
    <row r="919" ht="15.75" customHeight="1" s="16"/>
    <row r="920" ht="15.75" customHeight="1" s="16"/>
    <row r="921" ht="15.75" customHeight="1" s="16"/>
    <row r="922" ht="15.75" customHeight="1" s="16"/>
    <row r="923" ht="15.75" customHeight="1" s="16"/>
    <row r="924" ht="15.75" customHeight="1" s="16"/>
    <row r="925" ht="15.75" customHeight="1" s="16"/>
    <row r="926" ht="15.75" customHeight="1" s="16"/>
    <row r="927" ht="15.75" customHeight="1" s="16"/>
    <row r="928" ht="15.75" customHeight="1" s="16"/>
    <row r="929" ht="15.75" customHeight="1" s="16"/>
    <row r="930" ht="15.75" customHeight="1" s="16"/>
    <row r="931" ht="15.75" customHeight="1" s="16"/>
    <row r="932" ht="15.75" customHeight="1" s="16"/>
    <row r="933" ht="15.75" customHeight="1" s="16"/>
    <row r="934" ht="15.75" customHeight="1" s="16"/>
    <row r="935" ht="15.75" customHeight="1" s="16"/>
    <row r="936" ht="15.75" customHeight="1" s="16"/>
    <row r="937" ht="15.75" customHeight="1" s="16"/>
    <row r="938" ht="15.75" customHeight="1" s="16"/>
    <row r="939" ht="15.75" customHeight="1" s="16"/>
    <row r="940" ht="15.75" customHeight="1" s="16"/>
    <row r="941" ht="15.75" customHeight="1" s="16"/>
    <row r="942" ht="15.75" customHeight="1" s="16"/>
    <row r="943" ht="15.75" customHeight="1" s="16"/>
    <row r="944" ht="15.75" customHeight="1" s="16"/>
    <row r="945" ht="15.75" customHeight="1" s="16"/>
    <row r="946" ht="15.75" customHeight="1" s="16"/>
    <row r="947" ht="15.75" customHeight="1" s="16"/>
    <row r="948" ht="15.75" customHeight="1" s="16"/>
    <row r="949" ht="15.75" customHeight="1" s="16"/>
    <row r="950" ht="15.75" customHeight="1" s="16"/>
    <row r="951" ht="15.75" customHeight="1" s="16"/>
    <row r="952" ht="15.75" customHeight="1" s="16"/>
    <row r="953" ht="15.75" customHeight="1" s="16"/>
    <row r="954" ht="15.75" customHeight="1" s="16"/>
    <row r="955" ht="15.75" customHeight="1" s="16"/>
    <row r="956" ht="15.75" customHeight="1" s="16"/>
    <row r="957" ht="15.75" customHeight="1" s="16"/>
    <row r="958" ht="15.75" customHeight="1" s="16"/>
    <row r="959" ht="15.75" customHeight="1" s="16"/>
    <row r="960" ht="15.75" customHeight="1" s="16"/>
    <row r="961" ht="15.75" customHeight="1" s="16"/>
    <row r="962" ht="15.75" customHeight="1" s="16"/>
    <row r="963" ht="15.75" customHeight="1" s="16"/>
    <row r="964" ht="15.75" customHeight="1" s="16"/>
    <row r="965" ht="15.75" customHeight="1" s="16"/>
    <row r="966" ht="15.75" customHeight="1" s="16"/>
    <row r="967" ht="15.75" customHeight="1" s="16"/>
    <row r="968" ht="15.75" customHeight="1" s="16"/>
    <row r="969" ht="15.75" customHeight="1" s="16"/>
    <row r="970" ht="15.75" customHeight="1" s="16"/>
    <row r="971" ht="15.75" customHeight="1" s="16"/>
    <row r="972" ht="15.75" customHeight="1" s="16"/>
    <row r="973" ht="15.75" customHeight="1" s="16"/>
    <row r="974" ht="15.75" customHeight="1" s="16"/>
    <row r="975" ht="15.75" customHeight="1" s="16"/>
    <row r="976" ht="15.75" customHeight="1" s="16"/>
    <row r="977" ht="15.75" customHeight="1" s="16"/>
    <row r="978" ht="15.75" customHeight="1" s="16"/>
    <row r="979" ht="15.75" customHeight="1" s="16"/>
    <row r="980" ht="15.75" customHeight="1" s="16"/>
    <row r="981" ht="15.75" customHeight="1" s="16"/>
    <row r="982" ht="15.75" customHeight="1" s="16"/>
    <row r="983" ht="15.75" customHeight="1" s="16"/>
    <row r="984" ht="15.75" customHeight="1" s="16"/>
    <row r="985" ht="15.75" customHeight="1" s="16"/>
    <row r="986" ht="15.75" customHeight="1" s="16"/>
    <row r="987" ht="15.75" customHeight="1" s="16"/>
    <row r="988" ht="15.75" customHeight="1" s="16"/>
    <row r="989" ht="15.75" customHeight="1" s="16"/>
    <row r="990" ht="15.75" customHeight="1" s="16"/>
    <row r="991" ht="15.75" customHeight="1" s="16"/>
    <row r="992" ht="15.75" customHeight="1" s="16"/>
    <row r="993" ht="15.75" customHeight="1" s="16"/>
    <row r="994" ht="15.75" customHeight="1" s="16"/>
    <row r="995" ht="15.75" customHeight="1" s="16"/>
    <row r="996" ht="15.75" customHeight="1" s="16"/>
    <row r="997" ht="15.75" customHeight="1" s="16"/>
    <row r="998" ht="15.75" customHeight="1" s="16"/>
    <row r="999" ht="15.75" customHeight="1" s="16"/>
    <row r="1000" ht="15.75" customHeight="1" s="16"/>
  </sheetData>
  <autoFilter ref="B4:P55"/>
  <conditionalFormatting sqref="G5:G55">
    <cfRule type="expression" priority="1" dxfId="0">
      <formula>$G5="Must"</formula>
    </cfRule>
    <cfRule type="expression" priority="2" dxfId="1">
      <formula>$G5="Should"</formula>
    </cfRule>
    <cfRule type="expression" priority="3" dxfId="2">
      <formula>$G5="Could"</formula>
    </cfRule>
    <cfRule type="expression" priority="4" dxfId="3">
      <formula>$G5="Won't"</formula>
    </cfRule>
  </conditionalFormatting>
  <conditionalFormatting sqref="J5:J55">
    <cfRule type="expression" priority="6" dxfId="5">
      <formula>$J5="Sobre la capacidad"</formula>
    </cfRule>
  </conditionalFormatting>
  <dataValidations count="4">
    <dataValidation sqref="L5:L55" showDropDown="0" showInputMessage="0" showErrorMessage="0" allowBlank="1" type="list">
      <formula1>"Bastián Ñiripil,Luis Pérez,—"</formula1>
    </dataValidation>
    <dataValidation sqref="G5:G55" showDropDown="0" showInputMessage="0" showErrorMessage="0" allowBlank="1" type="list">
      <formula1>"Must,Should,Could,Won't"</formula1>
    </dataValidation>
    <dataValidation sqref="N5:N55" showDropDown="0" showInputMessage="0" showErrorMessage="0" allowBlank="1" type="list">
      <formula1>"En backlog,Habilitadora,Fuera del MVP"</formula1>
    </dataValidation>
    <dataValidation sqref="O5:O55" showDropDown="0" showInputMessage="0" showErrorMessage="0" allowBlank="1" type="list">
      <formula1>"Por hacer,En curso,Hecha,—"</formula1>
    </dataValidation>
  </dataValidations>
  <pageMargins left="0.75" right="0.75" top="1" bottom="1" header="0" footer="0"/>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H45"/>
  <sheetViews>
    <sheetView showGridLines="0" workbookViewId="0">
      <selection activeCell="A1" sqref="A1"/>
    </sheetView>
  </sheetViews>
  <sheetFormatPr baseColWidth="8" defaultRowHeight="15"/>
  <cols>
    <col width="1.43" customWidth="1" style="16" min="1" max="1"/>
    <col width="34" customWidth="1" style="16" min="2" max="2"/>
    <col width="16" customWidth="1" style="16" min="3" max="3"/>
    <col width="13" customWidth="1" style="16" min="4" max="4"/>
    <col width="19" customWidth="1" style="16" min="5" max="5"/>
    <col width="44" customWidth="1" style="16" min="8" max="8"/>
    <col width="8.710000000000001" customWidth="1" style="16" min="9" max="9"/>
  </cols>
  <sheetData>
    <row r="1" ht="31" customHeight="1" s="16">
      <c r="B1" s="1" t="inlineStr">
        <is>
          <t>Product Backlog: resumen y criterios</t>
        </is>
      </c>
    </row>
    <row r="2">
      <c r="B2" s="2" t="inlineStr">
        <is>
          <t>Proyecto CuidaTrack · versión 3 · 8 de octubre de 2026</t>
        </is>
      </c>
    </row>
    <row r="3"/>
    <row r="4">
      <c r="B4" s="17" t="inlineStr">
        <is>
          <t>Parámetros (edita solo las celdas amarillas)</t>
        </is>
      </c>
    </row>
    <row r="5">
      <c r="B5" s="18" t="inlineStr">
        <is>
          <t>Parámetro</t>
        </is>
      </c>
      <c r="C5" s="19" t="n"/>
      <c r="D5" s="18" t="inlineStr">
        <is>
          <t>Valor</t>
        </is>
      </c>
      <c r="E5" s="18" t="inlineStr">
        <is>
          <t>Origen del dato</t>
        </is>
      </c>
      <c r="F5" s="20" t="n"/>
      <c r="G5" s="20" t="n"/>
      <c r="H5" s="19" t="n"/>
    </row>
    <row r="6" ht="32" customHeight="1" s="16">
      <c r="B6" s="21" t="inlineStr">
        <is>
          <t>Velocidad estimada (puntos por sprint, entre ambos)</t>
        </is>
      </c>
      <c r="C6" s="19" t="n"/>
      <c r="D6" s="22" t="n">
        <v>18</v>
      </c>
      <c r="E6" s="21" t="inlineStr">
        <is>
          <t>Supuesto inicial, sin datos reales. Reemplazar por la velocidad medida al cerrar el primer sprint.</t>
        </is>
      </c>
      <c r="F6" s="20" t="n"/>
      <c r="G6" s="20" t="n"/>
      <c r="H6" s="19" t="n"/>
    </row>
    <row r="7" ht="32" customHeight="1" s="16">
      <c r="B7" s="21" t="inlineStr">
        <is>
          <t>Sprints de desarrollo</t>
        </is>
      </c>
      <c r="C7" s="19" t="n"/>
      <c r="D7" s="22" t="n">
        <v>4</v>
      </c>
      <c r="E7" s="21" t="inlineStr">
        <is>
          <t>Carta Gantt: desarrollo del 12 de octubre al 8 de noviembre, en sprints semanales. La semana del 9 al 15 de noviembre queda para pruebas y cierre.</t>
        </is>
      </c>
      <c r="F7" s="20" t="n"/>
      <c r="G7" s="20" t="n"/>
      <c r="H7" s="19" t="n"/>
    </row>
    <row r="8" ht="32" customHeight="1" s="16">
      <c r="B8" s="21" t="inlineStr">
        <is>
          <t>Fecha de inicio del Sprint 1</t>
        </is>
      </c>
      <c r="C8" s="19" t="n"/>
      <c r="D8" s="26" t="n">
        <v>46307</v>
      </c>
      <c r="E8" s="21" t="inlineStr">
        <is>
          <t>Carta Gantt: el desarrollo comienza el lunes 12 de octubre.</t>
        </is>
      </c>
      <c r="F8" s="20" t="n"/>
      <c r="G8" s="20" t="n"/>
      <c r="H8" s="19" t="n"/>
    </row>
    <row r="9"/>
    <row r="10">
      <c r="B10" s="17" t="inlineStr">
        <is>
          <t>Alcance por prioridad</t>
        </is>
      </c>
    </row>
    <row r="11" ht="32" customHeight="1" s="16">
      <c r="B11" s="18" t="inlineStr">
        <is>
          <t>Prioridad</t>
        </is>
      </c>
      <c r="C11" s="18" t="inlineStr">
        <is>
          <t>Historias</t>
        </is>
      </c>
      <c r="D11" s="18" t="inlineStr">
        <is>
          <t>Puntos</t>
        </is>
      </c>
      <c r="E11" s="18" t="inlineStr">
        <is>
          <t>Puntos acumulados</t>
        </is>
      </c>
      <c r="F11" s="18" t="inlineStr">
        <is>
          <t>Qué significa</t>
        </is>
      </c>
      <c r="G11" s="20" t="n"/>
      <c r="H11" s="19" t="n"/>
    </row>
    <row r="12">
      <c r="B12" s="23" t="inlineStr">
        <is>
          <t>Must</t>
        </is>
      </c>
      <c r="C12" s="24">
        <f>COUNTIF('Product Backlog'!$G$5:$G$55,$B12)</f>
        <v>27</v>
      </c>
      <c r="D12" s="24">
        <f>SUMIFS('Product Backlog'!$H$5:$H$55,'Product Backlog'!$G$5:$G$55,$B12)</f>
        <v>97</v>
      </c>
      <c r="E12" s="24">
        <f>SUM(D$12:D12)</f>
        <v>97</v>
      </c>
      <c r="F12" s="21" t="inlineStr">
        <is>
          <t>Sin esto no hay MVP.</t>
        </is>
      </c>
      <c r="G12" s="20" t="n"/>
      <c r="H12" s="19" t="n"/>
    </row>
    <row r="13">
      <c r="B13" s="23" t="inlineStr">
        <is>
          <t>Should</t>
        </is>
      </c>
      <c r="C13" s="24">
        <f>COUNTIF('Product Backlog'!$G$5:$G$55,$B13)</f>
        <v>17</v>
      </c>
      <c r="D13" s="24">
        <f>SUMIFS('Product Backlog'!$H$5:$H$55,'Product Backlog'!$G$5:$G$55,$B13)</f>
        <v>43</v>
      </c>
      <c r="E13" s="24">
        <f>SUM(D$12:D13)</f>
        <v>140</v>
      </c>
      <c r="F13" s="21" t="inlineStr">
        <is>
          <t>Importante; entra si hay capacidad.</t>
        </is>
      </c>
      <c r="G13" s="20" t="n"/>
      <c r="H13" s="19" t="n"/>
    </row>
    <row r="14">
      <c r="B14" s="23" t="inlineStr">
        <is>
          <t>Could</t>
        </is>
      </c>
      <c r="C14" s="24">
        <f>COUNTIF('Product Backlog'!$G$5:$G$55,$B14)</f>
        <v>5</v>
      </c>
      <c r="D14" s="24">
        <f>SUMIFS('Product Backlog'!$H$5:$H$55,'Product Backlog'!$G$5:$G$55,$B14)</f>
        <v>18</v>
      </c>
      <c r="E14" s="24">
        <f>SUM(D$12:D14)</f>
        <v>158</v>
      </c>
      <c r="F14" s="21" t="inlineStr">
        <is>
          <t>Deseable.</t>
        </is>
      </c>
      <c r="G14" s="20" t="n"/>
      <c r="H14" s="19" t="n"/>
    </row>
    <row r="15">
      <c r="B15" s="23" t="inlineStr">
        <is>
          <t>Won't</t>
        </is>
      </c>
      <c r="C15" s="24">
        <f>COUNTIF('Product Backlog'!$G$5:$G$55,$B15)</f>
        <v>2</v>
      </c>
      <c r="D15" s="24">
        <f>SUMIFS('Product Backlog'!$H$5:$H$55,'Product Backlog'!$G$5:$G$55,$B15)</f>
        <v>0</v>
      </c>
      <c r="E15" s="24">
        <f>SUM(D$12:D15)</f>
        <v>158</v>
      </c>
      <c r="F15" s="21" t="inlineStr">
        <is>
          <t>Fuera de esta versión; no se estima.</t>
        </is>
      </c>
      <c r="G15" s="20" t="n"/>
      <c r="H15" s="19" t="n"/>
    </row>
    <row r="16">
      <c r="B16" s="23" t="inlineStr">
        <is>
          <t>Total</t>
        </is>
      </c>
      <c r="C16" s="25">
        <f>SUM(C12:C15)</f>
        <v>51</v>
      </c>
      <c r="D16" s="25">
        <f>SUM(D12:D15)</f>
        <v>158</v>
      </c>
      <c r="E16" s="25" t="inlineStr">
        <is>
          <t>—</t>
        </is>
      </c>
      <c r="F16" s="23" t="n"/>
      <c r="G16" s="20" t="n"/>
      <c r="H16" s="19" t="n"/>
    </row>
    <row r="17"/>
    <row r="18">
      <c r="B18" s="17" t="inlineStr">
        <is>
          <t>Capacidad frente al alcance</t>
        </is>
      </c>
    </row>
    <row r="19">
      <c r="B19" s="18" t="inlineStr">
        <is>
          <t>Indicador</t>
        </is>
      </c>
      <c r="C19" s="19" t="n"/>
      <c r="D19" s="18" t="inlineStr">
        <is>
          <t>Puntos</t>
        </is>
      </c>
      <c r="E19" s="18" t="inlineStr">
        <is>
          <t>Lectura</t>
        </is>
      </c>
      <c r="F19" s="20" t="n"/>
      <c r="G19" s="20" t="n"/>
      <c r="H19" s="19" t="n"/>
    </row>
    <row r="20" ht="20" customHeight="1" s="16">
      <c r="B20" s="21" t="inlineStr">
        <is>
          <t>Capacidad total (velocidad × sprints)</t>
        </is>
      </c>
      <c r="C20" s="19" t="n"/>
      <c r="D20" s="25">
        <f>D6*D7</f>
        <v>72</v>
      </c>
      <c r="E20" s="21" t="str">
        <f>"Puntos que el equipo puede terminar en "&amp;D7&amp;" sprints a "&amp;D6&amp;" puntos por sprint."</f>
        <v>Puntos que el equipo puede terminar en 4 sprints a 18 puntos por sprint.</v>
      </c>
      <c r="F20" s="20" t="n"/>
      <c r="G20" s="20" t="n"/>
      <c r="H20" s="19" t="n"/>
    </row>
    <row r="21" ht="20" customHeight="1" s="16">
      <c r="B21" s="21" t="inlineStr">
        <is>
          <t>Puntos del backlog</t>
        </is>
      </c>
      <c r="C21" s="19" t="n"/>
      <c r="D21" s="25">
        <f>D16</f>
        <v>158</v>
      </c>
      <c r="E21" s="21" t="str">
        <f>"Suma de las "&amp;(C16-C15)&amp;" historias estimadas (sin las Won't)."</f>
        <v>Suma de las 49 historias estimadas (sin las Won't).</v>
      </c>
      <c r="F21" s="20" t="n"/>
      <c r="G21" s="20" t="n"/>
      <c r="H21" s="19" t="n"/>
    </row>
    <row r="22" ht="20" customHeight="1" s="16">
      <c r="B22" s="21" t="inlineStr">
        <is>
          <t>Puntos Must</t>
        </is>
      </c>
      <c r="C22" s="19" t="n"/>
      <c r="D22" s="25">
        <f>D12</f>
        <v>97</v>
      </c>
      <c r="E22" s="21" t="str">
        <f>IF(D22&lt;=D20,"Los Must caben: ocupan "&amp;TEXT(D22/D20,"0%")&amp;" de la capacidad.","Los Must NO caben: faltan "&amp;(D22-D20)&amp;" puntos. Hay que simplificar historias Must o confirmar una velocidad mayor (ver Puntos por decidir).")</f>
        <v>Los Must NO caben: faltan 25 puntos. Hay que simplificar historias Must o confirmar una velocidad mayor (ver Puntos por decidir).</v>
      </c>
      <c r="F22" s="20" t="n"/>
      <c r="G22" s="20" t="n"/>
      <c r="H22" s="19" t="n"/>
    </row>
    <row r="23" ht="20" customHeight="1" s="16">
      <c r="B23" s="21" t="inlineStr">
        <is>
          <t>Holgura (capacidad − puntos del backlog)</t>
        </is>
      </c>
      <c r="C23" s="19" t="n"/>
      <c r="D23" s="25">
        <f>D20-D21</f>
        <v>-86</v>
      </c>
      <c r="E23" s="21" t="str">
        <f>IF(D23&gt;=0,"Todo el backlog cabe, con "&amp;D23&amp;" puntos de holgura.","Faltan "&amp;-D23&amp;" puntos de capacidad: las últimas filas del backlog quedan fuera.")</f>
        <v>Faltan 86 puntos de capacidad: las últimas filas del backlog quedan fuera.</v>
      </c>
      <c r="F23" s="20" t="n"/>
      <c r="G23" s="20" t="n"/>
      <c r="H23" s="19" t="n"/>
    </row>
    <row r="24"/>
    <row r="25">
      <c r="B25" s="17" t="inlineStr">
        <is>
          <t>Carga por responsable de desarrollo</t>
        </is>
      </c>
    </row>
    <row r="26" ht="32" customHeight="1" s="16">
      <c r="B26" s="18" t="inlineStr">
        <is>
          <t>Responsable</t>
        </is>
      </c>
      <c r="C26" s="18" t="inlineStr">
        <is>
          <t>Puntos Must</t>
        </is>
      </c>
      <c r="D26" s="18" t="inlineStr">
        <is>
          <t>Puntos Should</t>
        </is>
      </c>
      <c r="E26" s="18" t="inlineStr">
        <is>
          <t>Puntos Could</t>
        </is>
      </c>
      <c r="F26" s="18" t="inlineStr">
        <is>
          <t>Total</t>
        </is>
      </c>
    </row>
    <row r="27">
      <c r="B27" s="21" t="inlineStr">
        <is>
          <t>Bastián Ñiripil</t>
        </is>
      </c>
      <c r="C27" s="24">
        <f>SUMIFS('Product Backlog'!$H$5:$H$55,'Product Backlog'!$L$5:$L$55,$B27,'Product Backlog'!$G$5:$G$55,"Must")</f>
        <v>53</v>
      </c>
      <c r="D27" s="24">
        <f>SUMIFS('Product Backlog'!$H$5:$H$55,'Product Backlog'!$L$5:$L$55,$B27,'Product Backlog'!$G$5:$G$55,"Should")</f>
        <v>23</v>
      </c>
      <c r="E27" s="24">
        <f>SUMIFS('Product Backlog'!$H$5:$H$55,'Product Backlog'!$L$5:$L$55,$B27,'Product Backlog'!$G$5:$G$55,"Could")</f>
        <v>5</v>
      </c>
      <c r="F27" s="25">
        <f>SUM(C27:E27)</f>
        <v>81</v>
      </c>
    </row>
    <row r="28">
      <c r="B28" s="21" t="inlineStr">
        <is>
          <t>Luis Pérez</t>
        </is>
      </c>
      <c r="C28" s="24">
        <f>SUMIFS('Product Backlog'!$H$5:$H$55,'Product Backlog'!$L$5:$L$55,$B28,'Product Backlog'!$G$5:$G$55,"Must")</f>
        <v>44</v>
      </c>
      <c r="D28" s="24">
        <f>SUMIFS('Product Backlog'!$H$5:$H$55,'Product Backlog'!$L$5:$L$55,$B28,'Product Backlog'!$G$5:$G$55,"Should")</f>
        <v>20</v>
      </c>
      <c r="E28" s="24">
        <f>SUMIFS('Product Backlog'!$H$5:$H$55,'Product Backlog'!$L$5:$L$55,$B28,'Product Backlog'!$G$5:$G$55,"Could")</f>
        <v>13</v>
      </c>
      <c r="F28" s="25">
        <f>SUM(C28:E28)</f>
        <v>77</v>
      </c>
    </row>
    <row r="29">
      <c r="B29" s="23" t="inlineStr">
        <is>
          <t>Total</t>
        </is>
      </c>
      <c r="C29" s="25">
        <f>SUM(C27:C28)</f>
        <v>97</v>
      </c>
      <c r="D29" s="25">
        <f>SUM(D27:D28)</f>
        <v>43</v>
      </c>
      <c r="E29" s="25">
        <f>SUM(E27:E28)</f>
        <v>18</v>
      </c>
      <c r="F29" s="25">
        <f>SUM(F27:F28)</f>
        <v>158</v>
      </c>
    </row>
    <row r="30"/>
    <row r="31">
      <c r="B31" s="17" t="inlineStr">
        <is>
          <t>Criterios de priorización</t>
        </is>
      </c>
    </row>
    <row r="32">
      <c r="B32" s="18" t="inlineStr">
        <is>
          <t>Criterio</t>
        </is>
      </c>
      <c r="C32" s="18" t="inlineStr">
        <is>
          <t>Cómo se aplica</t>
        </is>
      </c>
      <c r="D32" s="20" t="n"/>
      <c r="E32" s="20" t="n"/>
      <c r="F32" s="20" t="n"/>
      <c r="G32" s="20" t="n"/>
      <c r="H32" s="19" t="n"/>
    </row>
    <row r="33" ht="34" customHeight="1" s="16">
      <c r="B33" s="23" t="inlineStr">
        <is>
          <t>1. Prioridad MoSCoW</t>
        </is>
      </c>
      <c r="C33" s="21" t="inlineStr">
        <is>
          <t>Primero todas las Must, luego las Should, las Could y al final las Won't. Ninguna historia va antes que otra de mayor prioridad.</t>
        </is>
      </c>
      <c r="D33" s="20" t="n"/>
      <c r="E33" s="20" t="n"/>
      <c r="F33" s="20" t="n"/>
      <c r="G33" s="20" t="n"/>
      <c r="H33" s="19" t="n"/>
    </row>
    <row r="34" ht="34" customHeight="1" s="16">
      <c r="B34" s="23" t="inlineStr">
        <is>
          <t>2. Dependencias</t>
        </is>
      </c>
      <c r="C34" s="21" t="inlineStr">
        <is>
          <t>Una historia nunca va antes que las que necesita para funcionar (columna Depende de). Ninguna depende de una historia de menor prioridad.</t>
        </is>
      </c>
      <c r="D34" s="20" t="n"/>
      <c r="E34" s="20" t="n"/>
      <c r="F34" s="20" t="n"/>
      <c r="G34" s="20" t="n"/>
      <c r="H34" s="19" t="n"/>
    </row>
    <row r="35" ht="34" customHeight="1" s="16">
      <c r="B35" s="23" t="inlineStr">
        <is>
          <t>3. Objetivos de la Fase 1</t>
        </is>
      </c>
      <c r="C35" s="21" t="inlineStr">
        <is>
          <t>Dentro de las Must van primero las historias con las que se mide cada objetivo específico (OE1 a OE6), siguiendo el flujo: cuentas y pacientes, planes de cuidado, registro del cuidador, ficha, alertas, controles, nivel de riesgo y seguridad.</t>
        </is>
      </c>
      <c r="D35" s="20" t="n"/>
      <c r="E35" s="20" t="n"/>
      <c r="F35" s="20" t="n"/>
      <c r="G35" s="20" t="n"/>
      <c r="H35" s="19" t="n"/>
    </row>
    <row r="36" ht="34" customHeight="1" s="16">
      <c r="B36" s="23" t="inlineStr">
        <is>
          <t>4. Orden de la Carta Gantt</t>
        </is>
      </c>
      <c r="C36" s="21" t="inlineStr">
        <is>
          <t>El orden respeta los bloques de la Fase 1: registro del cuidador y portal del centro (12 al 25 de octubre), planes de cuidado y gestión de controles, alertas, nivel de riesgo y seguridad, y despliegue con Docker (hasta el 8 de noviembre).</t>
        </is>
      </c>
      <c r="D36" s="20" t="n"/>
      <c r="E36" s="20" t="n"/>
      <c r="F36" s="20" t="n"/>
      <c r="G36" s="20" t="n"/>
      <c r="H36" s="19" t="n"/>
    </row>
    <row r="37" ht="34" customHeight="1" s="16">
      <c r="B37" s="23" t="inlineStr">
        <is>
          <t>5. Esfuerzo e incertidumbre</t>
        </is>
      </c>
      <c r="C37" s="21" t="inlineStr">
        <is>
          <t>A igual valor va primero la historia de menos puntos. Las historias costosas o con factibilidad por confirmar (HU-15 y HU-23) quedan al final de su grupo.</t>
        </is>
      </c>
      <c r="D37" s="20" t="n"/>
      <c r="E37" s="20" t="n"/>
      <c r="F37" s="20" t="n"/>
      <c r="G37" s="20" t="n"/>
      <c r="H37" s="19" t="n"/>
    </row>
    <row r="38"/>
    <row r="39">
      <c r="B39" s="17" t="inlineStr">
        <is>
          <t>Puntos por decidir</t>
        </is>
      </c>
    </row>
    <row r="40">
      <c r="B40" s="18" t="inlineStr">
        <is>
          <t>Tema</t>
        </is>
      </c>
      <c r="C40" s="18" t="inlineStr">
        <is>
          <t>Detalle</t>
        </is>
      </c>
      <c r="D40" s="20" t="n"/>
      <c r="E40" s="20" t="n"/>
      <c r="F40" s="20" t="n"/>
      <c r="G40" s="20" t="n"/>
      <c r="H40" s="19" t="n"/>
    </row>
    <row r="41" ht="34" customHeight="1" s="16">
      <c r="B41" s="23" t="inlineStr">
        <is>
          <t>Alcance y capacidad</t>
        </is>
      </c>
      <c r="C41" s="21" t="inlineStr">
        <is>
          <t>Los Must (97 puntos) superan la capacidad de 4 sprints a 18 puntos (72 puntos). Con este orden, la línea de capacidad cae después de HU-34: HU-43 (adelantar controles) y HU-47 (Docker) son necesarias para medir el OE5 y el OE6 y hoy quedan fuera. Decidir en la primera planificación.</t>
        </is>
      </c>
      <c r="D41" s="20" t="n"/>
      <c r="E41" s="20" t="n"/>
      <c r="F41" s="20" t="n"/>
      <c r="G41" s="20" t="n"/>
      <c r="H41" s="19" t="n"/>
    </row>
    <row r="42" ht="50" customHeight="1" s="16">
      <c r="B42" s="23" t="inlineStr">
        <is>
          <t>Opciones para que quepan los Must</t>
        </is>
      </c>
      <c r="C42" s="21" t="inlineStr">
        <is>
          <t>Medir la velocidad real en el primer sprint (dos personas en paralelo pueden superar los 18 puntos). Simplificar: cargar las plantillas de HU-10 desde un archivo de configuración en lugar de una pantalla de edición; bajar HU-26 (gráficos) a Should; unir HU-38 y HU-39 con HU-37.</t>
        </is>
      </c>
      <c r="D42" s="20" t="n"/>
      <c r="E42" s="20" t="n"/>
      <c r="F42" s="20" t="n"/>
      <c r="G42" s="20" t="n"/>
      <c r="H42" s="19" t="n"/>
    </row>
    <row r="43" ht="34" customHeight="1" s="16">
      <c r="B43" s="23" t="inlineStr">
        <is>
          <t>HU-23 y HU-05</t>
        </is>
      </c>
      <c r="C43" s="21" t="inlineStr">
        <is>
          <t>HU-23: validar si los recordatorios en el celular son factibles en la aplicación web antes de comprometerla. HU-05 y HU-06 (cuidadores secundarios) son Should; subirlas a Must suma 5 puntos.</t>
        </is>
      </c>
      <c r="D43" s="20" t="n"/>
      <c r="E43" s="20" t="n"/>
      <c r="F43" s="20" t="n"/>
      <c r="G43" s="20" t="n"/>
      <c r="H43" s="19" t="n"/>
    </row>
    <row r="44" ht="34" customHeight="1" s="16">
      <c r="B44" s="23" t="inlineStr">
        <is>
          <t>Reparto de la carga</t>
        </is>
      </c>
      <c r="C44" s="21" t="inlineStr">
        <is>
          <t>Ver la tabla de carga por responsable. Bastián concentra las primeras historias (cuentas, pacientes y planes); Luis puede avanzar el panel (HU-24) y la agenda de controles (HU-41) en paralelo.</t>
        </is>
      </c>
      <c r="D44" s="20" t="n"/>
      <c r="E44" s="20" t="n"/>
      <c r="F44" s="20" t="n"/>
      <c r="G44" s="20" t="n"/>
      <c r="H44" s="19" t="n"/>
    </row>
    <row r="45" ht="34" customHeight="1" s="16">
      <c r="B45" s="23" t="inlineStr">
        <is>
          <t>Velocidad</t>
        </is>
      </c>
      <c r="C45" s="21" t="inlineStr">
        <is>
          <t>El valor inicial es un supuesto. Medirla al cierre del primer sprint y actualizar la celda amarilla.</t>
        </is>
      </c>
      <c r="D45" s="20" t="n"/>
      <c r="E45" s="20" t="n"/>
      <c r="F45" s="20" t="n"/>
      <c r="G45" s="20" t="n"/>
      <c r="H45" s="19" t="n"/>
    </row>
  </sheetData>
  <mergeCells count="36">
    <mergeCell ref="C41:H41"/>
    <mergeCell ref="B7:C7"/>
    <mergeCell ref="C44:H44"/>
    <mergeCell ref="C40:H40"/>
    <mergeCell ref="B22:C22"/>
    <mergeCell ref="E7:H7"/>
    <mergeCell ref="C43:H43"/>
    <mergeCell ref="E22:H22"/>
    <mergeCell ref="B21:C21"/>
    <mergeCell ref="C36:H36"/>
    <mergeCell ref="F13:H13"/>
    <mergeCell ref="E21:H21"/>
    <mergeCell ref="B23:C23"/>
    <mergeCell ref="B8:C8"/>
    <mergeCell ref="E5:H5"/>
    <mergeCell ref="C32:H32"/>
    <mergeCell ref="E23:H23"/>
    <mergeCell ref="E8:H8"/>
    <mergeCell ref="F14:H14"/>
    <mergeCell ref="B19:C19"/>
    <mergeCell ref="C37:H37"/>
    <mergeCell ref="E20:H20"/>
    <mergeCell ref="C34:H34"/>
    <mergeCell ref="E19:H19"/>
    <mergeCell ref="F11:H11"/>
    <mergeCell ref="C33:H33"/>
    <mergeCell ref="B6:C6"/>
    <mergeCell ref="F16:H16"/>
    <mergeCell ref="C42:H42"/>
    <mergeCell ref="B5:C5"/>
    <mergeCell ref="B20:C20"/>
    <mergeCell ref="E6:H6"/>
    <mergeCell ref="C45:H45"/>
    <mergeCell ref="C35:H35"/>
    <mergeCell ref="F12:H12"/>
    <mergeCell ref="F15:H15"/>
  </mergeCells>
  <dataValidations count="1">
    <dataValidation sqref="D6:D8" showDropDown="0" showInputMessage="0" showErrorMessage="0" allowBlank="0" type="whole" operator="greaterThan">
      <formula1>0</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2026-10-07T07:07:49Z</dcterms:created>
  <dcterms:modified xmlns:dcterms="http://purl.org/dc/terms/" xmlns:xsi="http://www.w3.org/2001/XMLSchema-instance" xsi:type="dcterms:W3CDTF">2026-10-08T18:35:52Z</dcterms:modified>
</cp:coreProperties>
</file>